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sDoc\영업진행\"/>
    </mc:Choice>
  </mc:AlternateContent>
  <bookViews>
    <workbookView xWindow="0" yWindow="0" windowWidth="27105" windowHeight="12135" tabRatio="734"/>
  </bookViews>
  <sheets>
    <sheet name="요구사항정의서(당사 요구사항)" sheetId="10" r:id="rId1"/>
    <sheet name="전자구매 계약서화면 " sheetId="11" r:id="rId2"/>
    <sheet name="작성가이드" sheetId="4" r:id="rId3"/>
    <sheet name="작성예시" sheetId="5" r:id="rId4"/>
  </sheets>
  <definedNames>
    <definedName name="_xlnm._FilterDatabase" localSheetId="0" hidden="1">'요구사항정의서(당사 요구사항)'!$B$1:$W$16</definedName>
    <definedName name="_xlnm._FilterDatabase" localSheetId="2" hidden="1">작성가이드!#REF!</definedName>
    <definedName name="_xlnm._FilterDatabase" localSheetId="3" hidden="1">작성예시!#REF!</definedName>
    <definedName name="_xlnm.Print_Area" localSheetId="0">'요구사항정의서(당사 요구사항)'!$B$1:$K$19</definedName>
    <definedName name="_xlnm.Print_Titles" localSheetId="3">작성예시!#REF!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4" i="10" l="1"/>
  <c r="Y24" i="10" l="1"/>
</calcChain>
</file>

<file path=xl/sharedStrings.xml><?xml version="1.0" encoding="utf-8"?>
<sst xmlns="http://schemas.openxmlformats.org/spreadsheetml/2006/main" count="913" uniqueCount="357">
  <si>
    <t>- Level1의 하위 Level
- Level2가 존재하지 않는 업무는 NA로 표기</t>
  </si>
  <si>
    <t>요구사항명 기술
 - 요구사항을 명확히 할수 있도록 부여하고, 명사 및 동명사 형태로 끝맺도록 함
    (보통 Level3 기능명과 유사)</t>
  </si>
  <si>
    <t>요구사항이 기능적으로 구현이 가능하면 기능요구사항이며, 비기능적(예로,성능개선 등)으로 해결해야되는 건은 비기능요구사항임(비기능요구사항은 해당 아키텍처 팀에 전달되어 해결될수 있도록 해야됨)</t>
  </si>
  <si>
    <t>도출된 요구사항 개발을 위한 형태를 기술(개선,신규)
-개선 : 개선요구사항
-신규 : 신규요구사항</t>
  </si>
  <si>
    <t>(마이너스) 365일 결산프로세스 도입</t>
  </si>
  <si>
    <t>수관팀에서 관리하는 요구사항ID 기술</t>
  </si>
  <si>
    <t>요구사항 변경 유형을 추가, 수정, 삭제로 분류. 
요구사항 정의서에 대한 베이스라인 생성 이후 요구사항 변경에 대한 분류 표시
  - 추가 : 수행계획서 범위 외 추가 사항, 분석 단계(최초 베이스 라인 승인 후)에서 도출되지 않은 추가 사항
        (요구사항ID가 분석 이후 단계에 새로 부여 되는 경우)
  - 수정 : 기 도출된 요구사항의 내용이 변경된 경우
        (기존 요구사항ID 내에 내용이 일부 추가, 수정, 삭제되는 경우)
  - 삭제 : 기 도출된 요구사항 내용이 더 이상 유효하지 않을 경우(단, 삭제라고 해서 해당 내용을 
            삭제하지는 말고 '[삭제]' 구분을 표기 함)
  - 이관삭제 : 기도출된 요구사항이 타업무로 이관된 경우 (변경이력에 이관 요구사항ID 필 기술</t>
  </si>
  <si>
    <t>NA</t>
  </si>
  <si>
    <t>요구불편의지급내역관리{1012}</t>
  </si>
  <si>
    <t>요구불비정형자료조회{9921}</t>
  </si>
  <si>
    <t>지급/분할해지/중도인출{0301}</t>
  </si>
  <si>
    <t>요구사항이관시-수관요구사항ID</t>
  </si>
  <si>
    <t>(마이너스) 이자계산 프로세스 개선</t>
  </si>
  <si>
    <t>비고
(진행인 경우 사유기술)</t>
  </si>
  <si>
    <t>사고신고[신용공통]{2510}</t>
  </si>
  <si>
    <t>수용여부
(진행,수용,기각,이관)</t>
  </si>
  <si>
    <t>공금예금 계좌관리, 관련정보조회</t>
  </si>
  <si>
    <t>원화, 외화 신규 및 해지 업무</t>
  </si>
  <si>
    <t>당좌수표신용조사관리{5001}</t>
  </si>
  <si>
    <t>요건이 변경된 최종일자 기록</t>
  </si>
  <si>
    <t>공동명의 등록/해제/조회</t>
  </si>
  <si>
    <t>비고
(진행인경우 사유기술)</t>
  </si>
  <si>
    <t>요구불예금 잡이익처리/환급</t>
  </si>
  <si>
    <t>요구구분
(개선,신규)</t>
  </si>
  <si>
    <t>요구불공동명의관리{1011}</t>
  </si>
  <si>
    <t>기장/재발급{2001}</t>
  </si>
  <si>
    <t>요건이 발생한 최초일자 기록</t>
  </si>
  <si>
    <t>정정취소/부도지급{8101}</t>
  </si>
  <si>
    <t>지자체모니터링관리, 조회</t>
  </si>
  <si>
    <t>(마이너스) 개발 효율성 강화를 위한 대출 실행 시뮬레이션 구축</t>
  </si>
  <si>
    <t>해당 요구사항에 대해 협의가 필요할 경우 협의할 부서명 기술</t>
  </si>
  <si>
    <t>(마이너스) 배치 및 화면 관리 프로세스 도입</t>
  </si>
  <si>
    <t>피해구제신청/수정/취소, 조회, 변경내역조회</t>
  </si>
  <si>
    <t>원장정보조회, 요구불예금평잔조회, 현금카드조회</t>
  </si>
  <si>
    <t>요구사항이 "진행"인경우 미확정 사유를 기술한다.(예, 교차거래 대상인지 아닌지 현재 결정할 수 없는경우)</t>
  </si>
  <si>
    <t>유형
(기능,비기능)</t>
  </si>
  <si>
    <t>중요도
(상,중,하)</t>
  </si>
  <si>
    <t>전제조건 및 제약사항</t>
  </si>
  <si>
    <t>요구사항 이관시</t>
  </si>
  <si>
    <t>요구사항이관시-수관팀</t>
  </si>
  <si>
    <t>해지{0401}</t>
  </si>
  <si>
    <t>입금{0201}</t>
  </si>
  <si>
    <t>원화, 외화 해지업무</t>
  </si>
  <si>
    <t>등록해제{1001}</t>
  </si>
  <si>
    <t>신규{0101}</t>
  </si>
  <si>
    <t>양도수도{6251}</t>
  </si>
  <si>
    <t>유형(기능,비기능)</t>
  </si>
  <si>
    <t>수관요구사항ID</t>
  </si>
  <si>
    <t>요구구분(개선,신규)</t>
  </si>
  <si>
    <t>수신거래_입금/지급</t>
  </si>
  <si>
    <t>관련부서-담당자</t>
  </si>
  <si>
    <t>RF-CB-0004</t>
  </si>
  <si>
    <t>요구불 고객정보 변경</t>
  </si>
  <si>
    <t>금리등록{3111}</t>
  </si>
  <si>
    <t>메모관리{3411}</t>
  </si>
  <si>
    <t>원장변경{1201}</t>
  </si>
  <si>
    <t>당좌수표신용조사관리</t>
  </si>
  <si>
    <t>요구불 금리등록</t>
  </si>
  <si>
    <t>결산처리정보조회</t>
  </si>
  <si>
    <t>전기통신금융사기</t>
  </si>
  <si>
    <t>요구불조회{2211}</t>
  </si>
  <si>
    <t>RF-CB-0001</t>
  </si>
  <si>
    <t>편의지급내역관리</t>
  </si>
  <si>
    <t>정정취소/부도지급</t>
  </si>
  <si>
    <t>잡이익처리{6111}</t>
  </si>
  <si>
    <t>RF-CB-0002</t>
  </si>
  <si>
    <t>RF-CB-0003</t>
  </si>
  <si>
    <t>RF-CB-0006</t>
  </si>
  <si>
    <t>RF-CB-0016</t>
  </si>
  <si>
    <t>RF-CB-0008</t>
  </si>
  <si>
    <t>RF-CB-0015</t>
  </si>
  <si>
    <t>RF-CB-0010</t>
  </si>
  <si>
    <t>RF-CB-0007</t>
  </si>
  <si>
    <t>RF-CB-0020</t>
  </si>
  <si>
    <t>RF-CB-0011</t>
  </si>
  <si>
    <t>RF-CB-0017</t>
  </si>
  <si>
    <t>RF-CB-0005</t>
  </si>
  <si>
    <t>RF-CB-0009</t>
  </si>
  <si>
    <t>RF-CB-0021</t>
  </si>
  <si>
    <t>RF-CB-0014</t>
  </si>
  <si>
    <t>RF-CB-0018</t>
  </si>
  <si>
    <t>RF-CB-0012</t>
  </si>
  <si>
    <t>RF-CB-0019</t>
  </si>
  <si>
    <t>RQ-CM-0010</t>
  </si>
  <si>
    <t>2016.09.05</t>
  </si>
  <si>
    <t>RF-CB-0024</t>
  </si>
  <si>
    <t>RF-CB-0023</t>
  </si>
  <si>
    <t>RF-CB-0013</t>
  </si>
  <si>
    <t>RF-CB-0026</t>
  </si>
  <si>
    <t>RF-CB-0022</t>
  </si>
  <si>
    <t>RF-CB-0025</t>
  </si>
  <si>
    <t>수용결정된 요구사항이 타팀 또는 타파트 업무로 이관되는 경우 기술</t>
  </si>
  <si>
    <t>해당 요구사항에 대해 협의가 필요할 경우 협의할 담당자명/연락처 기술</t>
  </si>
  <si>
    <t>영업부</t>
  </si>
  <si>
    <t>부서</t>
  </si>
  <si>
    <t>기능</t>
  </si>
  <si>
    <t>결산</t>
  </si>
  <si>
    <t>예시</t>
  </si>
  <si>
    <t>홍길동</t>
  </si>
  <si>
    <t>출처</t>
  </si>
  <si>
    <t>상</t>
  </si>
  <si>
    <t>담당자</t>
  </si>
  <si>
    <t>수관팀</t>
  </si>
  <si>
    <t>항목명</t>
  </si>
  <si>
    <t>중</t>
  </si>
  <si>
    <t>수신</t>
  </si>
  <si>
    <t xml:space="preserve">요구사항 정의서의 베이스라인 설정 이후 요구사항에 대한 변경이 되었을 경우 이력을 기술함. 날짜와 요구사항을 발의한 사람, 간단한 변경내용을 기재한다.
다른 곳으로 이관된 경우 이관된 사항을 반드시 기술
[YYYY.MM.DD 변경자명] 변경내용 기술 </t>
  </si>
  <si>
    <t>해당항목의 요구사항을 만족시키기 위한 선행조건 기술
타 시스템에서 해결하여야 할 사항을 기술</t>
  </si>
  <si>
    <t>기장/재발급</t>
  </si>
  <si>
    <t>이관삭제</t>
  </si>
  <si>
    <t>출처 문서명</t>
  </si>
  <si>
    <t>변경이력</t>
  </si>
  <si>
    <t>계좌관리</t>
  </si>
  <si>
    <t>요구사항 ID</t>
  </si>
  <si>
    <t>입금지급</t>
  </si>
  <si>
    <t>요구불예금</t>
  </si>
  <si>
    <t>등록해제업무</t>
  </si>
  <si>
    <t>요구사항명</t>
  </si>
  <si>
    <t>최종변경일</t>
  </si>
  <si>
    <t>입금업무처리</t>
  </si>
  <si>
    <t>관련부서</t>
  </si>
  <si>
    <t>관련부서-부서</t>
  </si>
  <si>
    <t>변경
유형</t>
  </si>
  <si>
    <t>사고신고업무</t>
  </si>
  <si>
    <t>마이너스대출</t>
  </si>
  <si>
    <t>상세내용</t>
  </si>
  <si>
    <t>신규해지</t>
  </si>
  <si>
    <t>변경내역</t>
  </si>
  <si>
    <t>Level3</t>
  </si>
  <si>
    <t>수신거래_신규</t>
  </si>
  <si>
    <t>기장/발급</t>
  </si>
  <si>
    <t>공통업무팀</t>
  </si>
  <si>
    <t>요건발생일</t>
  </si>
  <si>
    <t>요구불메모관리</t>
  </si>
  <si>
    <t>수표어음</t>
  </si>
  <si>
    <t>현행소스</t>
  </si>
  <si>
    <t>제안요청서</t>
  </si>
  <si>
    <t>개별업무</t>
  </si>
  <si>
    <t>결산관리</t>
  </si>
  <si>
    <t>지자체모니터링</t>
  </si>
  <si>
    <t>비정형자료조회</t>
  </si>
  <si>
    <t>사고신고/기장</t>
  </si>
  <si>
    <t>공금예금</t>
  </si>
  <si>
    <t>[2016.09.05 김기덕] 해당요구사항은 공통업무팀에서 개발키로 합의함</t>
  </si>
  <si>
    <t>(1)원화 및 외화로 지급/분할해지/중도인출
(2)현금카드, 어음수표지급</t>
  </si>
  <si>
    <t>Level2</t>
  </si>
  <si>
    <t>항목설명</t>
  </si>
  <si>
    <t>작성 가이드</t>
  </si>
  <si>
    <t>Level1</t>
  </si>
  <si>
    <t>서브업무명</t>
  </si>
  <si>
    <t>단위업무명</t>
  </si>
  <si>
    <t>- Level2의 하위 Level
- Level3가 존재하지 않는 업무는 NA로 표기</t>
  </si>
  <si>
    <t>해당요구사항 도출된 출처를 기술함(현행소스, 제안요청서, RFP로 구분하여 사용함)</t>
  </si>
  <si>
    <t>요구불 원천징수 수정신고, 원장변경, BOK 사유코드변경, 요구불상품전환처리 업무</t>
  </si>
  <si>
    <r>
      <t xml:space="preserve">1. 요구사항에 대해 상세히 기술한다.
   - 단순분리 및 현행유지되는 요구사항은 "현행유지"문구로 기술
   - 개선요구사항에 대해서는 개선할 내용을 상세히 기술
2. 요구사항 추가, 수정, 삭제 등 변경 발생 시 다음과 같이 기술한다. 
</t>
    </r>
    <r>
      <rPr>
        <b/>
        <sz val="10"/>
        <color rgb="FF000000"/>
        <rFont val="맑은 고딕"/>
        <family val="3"/>
        <charset val="129"/>
      </rPr>
      <t xml:space="preserve">   (1) 추가일 경우 </t>
    </r>
    <r>
      <rPr>
        <sz val="10"/>
        <color rgb="FF000000"/>
        <rFont val="맑은 고딕"/>
        <family val="3"/>
        <charset val="129"/>
      </rPr>
      <t xml:space="preserve">
      :  [추가] 추가된 내용 상세 기술한다. 
</t>
    </r>
    <r>
      <rPr>
        <b/>
        <sz val="10"/>
        <color rgb="FF000000"/>
        <rFont val="맑은 고딕"/>
        <family val="3"/>
        <charset val="129"/>
      </rPr>
      <t xml:space="preserve">   (2) 수정일 경우</t>
    </r>
    <r>
      <rPr>
        <sz val="10"/>
        <color rgb="FF000000"/>
        <rFont val="맑은 고딕"/>
        <family val="3"/>
        <charset val="129"/>
      </rPr>
      <t xml:space="preserve"> 
      : 기존 내용에 한 줄 내려 </t>
    </r>
    <r>
      <rPr>
        <b/>
        <i/>
        <u/>
        <sz val="10"/>
        <color rgb="FF000000"/>
        <rFont val="맑은 고딕"/>
        <family val="3"/>
        <charset val="129"/>
      </rPr>
      <t xml:space="preserve">일부수정할 경우 </t>
    </r>
    <r>
      <rPr>
        <sz val="10"/>
        <color rgb="FF000000"/>
        <rFont val="맑은 고딕"/>
        <family val="3"/>
        <charset val="129"/>
      </rPr>
      <t xml:space="preserve">
       </t>
    </r>
    <r>
      <rPr>
        <b/>
        <sz val="10"/>
        <color rgb="FF1F497D"/>
        <rFont val="맑은 고딕"/>
        <family val="3"/>
        <charset val="129"/>
      </rPr>
      <t xml:space="preserve"> [수정] 기존 내용 → 수정된 내용 상세 기술한다(일부 수정). </t>
    </r>
    <r>
      <rPr>
        <sz val="10"/>
        <color rgb="FF000000"/>
        <rFont val="맑은 고딕"/>
        <family val="3"/>
        <charset val="129"/>
      </rPr>
      <t xml:space="preserve">
      :</t>
    </r>
    <r>
      <rPr>
        <b/>
        <i/>
        <u/>
        <sz val="10"/>
        <color rgb="FF000000"/>
        <rFont val="맑은 고딕"/>
        <family val="3"/>
        <charset val="129"/>
      </rPr>
      <t xml:space="preserve"> 일부추가할 경우 </t>
    </r>
    <r>
      <rPr>
        <sz val="10"/>
        <color rgb="FF000000"/>
        <rFont val="맑은 고딕"/>
        <family val="3"/>
        <charset val="129"/>
      </rPr>
      <t xml:space="preserve">
      </t>
    </r>
    <r>
      <rPr>
        <b/>
        <sz val="10"/>
        <color rgb="FF1F497D"/>
        <rFont val="맑은 고딕"/>
        <family val="3"/>
        <charset val="129"/>
      </rPr>
      <t xml:space="preserve">  [수정] 일부 추가된 내용 상세 기술한다(일부 추가). </t>
    </r>
    <r>
      <rPr>
        <sz val="10"/>
        <color rgb="FF000000"/>
        <rFont val="맑은 고딕"/>
        <family val="3"/>
        <charset val="129"/>
      </rPr>
      <t xml:space="preserve">
      :</t>
    </r>
    <r>
      <rPr>
        <b/>
        <i/>
        <u/>
        <sz val="10"/>
        <color rgb="FF000000"/>
        <rFont val="맑은 고딕"/>
        <family val="3"/>
        <charset val="129"/>
      </rPr>
      <t xml:space="preserve"> 일부삭제할 경우 </t>
    </r>
    <r>
      <rPr>
        <sz val="10"/>
        <color rgb="FF000000"/>
        <rFont val="맑은 고딕"/>
        <family val="3"/>
        <charset val="129"/>
      </rPr>
      <t xml:space="preserve">
       </t>
    </r>
    <r>
      <rPr>
        <b/>
        <sz val="10"/>
        <color rgb="FFFF0000"/>
        <rFont val="맑은 고딕"/>
        <family val="3"/>
        <charset val="129"/>
      </rPr>
      <t xml:space="preserve"> [수정] 삭제할 기존 내용 상세 기술한다(일부 삭제). </t>
    </r>
    <r>
      <rPr>
        <sz val="10"/>
        <color rgb="FF000000"/>
        <rFont val="맑은 고딕"/>
        <family val="3"/>
        <charset val="129"/>
      </rPr>
      <t xml:space="preserve">
   </t>
    </r>
    <r>
      <rPr>
        <b/>
        <sz val="10"/>
        <color rgb="FF000000"/>
        <rFont val="맑은 고딕"/>
        <family val="3"/>
        <charset val="129"/>
      </rPr>
      <t>(3) 삭제일 경우</t>
    </r>
    <r>
      <rPr>
        <sz val="10"/>
        <color rgb="FF000000"/>
        <rFont val="맑은 고딕"/>
        <family val="3"/>
        <charset val="129"/>
      </rPr>
      <t xml:space="preserve"> 
       : 해당 내용을 삭제하지 말고 첫 줄에 
       </t>
    </r>
    <r>
      <rPr>
        <b/>
        <sz val="10"/>
        <color rgb="FFFF0000"/>
        <rFont val="맑은 고딕"/>
        <family val="3"/>
        <charset val="129"/>
      </rPr>
      <t xml:space="preserve"> [삭제] 삭제될 기존 요구사항 내용 그대로 표현
                삭제 사유기술</t>
    </r>
  </si>
  <si>
    <r>
      <t xml:space="preserve">요구사항의 중요도는 다음과 같은 기준으로 상, 중, 하로 표시함. 
</t>
    </r>
    <r>
      <rPr>
        <b/>
        <u/>
        <sz val="10"/>
        <color rgb="FF000000"/>
        <rFont val="맑은 고딕"/>
        <family val="3"/>
        <charset val="129"/>
      </rPr>
      <t>요구사항 중요도는 고객에게 주는 이익을 기준으로 정의하며 고객과 요구사항 검증 시 고객에게 확인을 받는다.</t>
    </r>
    <r>
      <rPr>
        <sz val="10"/>
        <color rgb="FF000000"/>
        <rFont val="맑은 고딕"/>
        <family val="3"/>
        <charset val="129"/>
      </rPr>
      <t xml:space="preserve">
  - 상 : 해당 요구사항이 법적 요건이거나 핵심 비즈니스 활동에 필수적인 기능이며 완벽하게 구현해야 하는 경우
  - 중 : 해당 요구사항이 비즈니스 활동에 필수적인 기능이나 극적으로 잘 만들 필요는 없는 경우
  - 하 : 요구사항이 반영되지 않으면 비즈니스 활동에 불편을 끼칠 수는 있으나 다른 방법으로 처리가 가능하고, 시급성이 비교적 떨어지는 경우</t>
    </r>
  </si>
  <si>
    <r>
      <t xml:space="preserve">요구사항의 현재 상태를 표시한다.
  - </t>
    </r>
    <r>
      <rPr>
        <b/>
        <u/>
        <sz val="10"/>
        <color rgb="FF000000"/>
        <rFont val="맑은 고딕"/>
        <family val="3"/>
        <charset val="129"/>
      </rPr>
      <t xml:space="preserve">진행: (TBD, To Be Determined), 요구사항을 수집하고 있거나 협의 중, </t>
    </r>
    <r>
      <rPr>
        <sz val="10"/>
        <color rgb="FF000000"/>
        <rFont val="맑은 고딕"/>
        <family val="3"/>
        <charset val="129"/>
      </rPr>
      <t>아직 시스템으로 구현이 될지 결정한 상태는 아님, 향후 데드라인을 정한 후 일괄 협상해야 할 대상임.
  - 수용: 명확히 시스템으로 구현될 요구사항
  - 기각: 요구사항으로 수집되었으나, 사유에 의해 시스템 구현에서 제외하기로 함
  - 이관: 타 업무(또는 시스템)으로 요구사항이 넘어감, 타 업무(또는 시스템)로 요구사항이 이관되는 경우는 해당 업무파트에 새로운 요구사항으로 등록되어져야하고 이에 대한 변경 사항 및 ID를 비고에 기술하도록 한다</t>
    </r>
  </si>
  <si>
    <t>조회</t>
  </si>
  <si>
    <t>나개선</t>
  </si>
  <si>
    <t>개선</t>
  </si>
  <si>
    <t>수용</t>
  </si>
  <si>
    <t>-</t>
  </si>
  <si>
    <t>필수</t>
  </si>
  <si>
    <t>비고</t>
  </si>
  <si>
    <t>업무명</t>
  </si>
  <si>
    <t>구분</t>
  </si>
  <si>
    <t>1. 명명규칙
   : RQ-단위업무코드(2)-일련번호(4) 
     예) RQ-CB-0001 : 은행시스템내 수신업무팀내 요구불예금 요구사항
2. 요구사항 도출단위 기준 
   (1) Level 3 기능과 요구사항 ID는 보통 1:1로 매핑되며 Level 3 기능을 상세하게 구분하여 요구사항으로 정의할 경우에는 1:N의 관계로 매핑된다.
   (2)  메인화면 혹은 메인기능단위로 작성
   (3) 제안요청서 및 기술협상된 도출된 개선요구사항은 개선요구사항 단위로 식별하여 요구사항ID부여</t>
  </si>
  <si>
    <t>기능</t>
    <phoneticPr fontId="60" type="noConversion"/>
  </si>
  <si>
    <t>신규</t>
    <phoneticPr fontId="60" type="noConversion"/>
  </si>
  <si>
    <t>전자구매</t>
    <phoneticPr fontId="60" type="noConversion"/>
  </si>
  <si>
    <t>Level1</t>
    <phoneticPr fontId="60" type="noConversion"/>
  </si>
  <si>
    <t>Level3</t>
    <phoneticPr fontId="60" type="noConversion"/>
  </si>
  <si>
    <t>Level2</t>
    <phoneticPr fontId="60" type="noConversion"/>
  </si>
  <si>
    <t>기능여부</t>
    <phoneticPr fontId="60" type="noConversion"/>
  </si>
  <si>
    <t>필수</t>
    <phoneticPr fontId="60" type="noConversion"/>
  </si>
  <si>
    <t>기능/비기능
기능 : 개발시 기술적으로 반드시 필요한 요건
비기능 : 개발 외 업무간 협조나 산출물 등 개발에 필요한 제반 정보 작성</t>
    <phoneticPr fontId="60" type="noConversion"/>
  </si>
  <si>
    <t>농협정보시스템</t>
    <phoneticPr fontId="60" type="noConversion"/>
  </si>
  <si>
    <t>레거시시스템 데이터 연동</t>
    <phoneticPr fontId="60" type="noConversion"/>
  </si>
  <si>
    <t>PMS 연동</t>
    <phoneticPr fontId="60" type="noConversion"/>
  </si>
  <si>
    <t>NH-ERP 연동</t>
    <phoneticPr fontId="60" type="noConversion"/>
  </si>
  <si>
    <t>계약서 연동</t>
    <phoneticPr fontId="60" type="noConversion"/>
  </si>
  <si>
    <t>진행</t>
  </si>
  <si>
    <t>하</t>
  </si>
  <si>
    <t>김정아</t>
    <phoneticPr fontId="60" type="noConversion"/>
  </si>
  <si>
    <t>• 전자구매시스템에서 계약체결 완료 후 계약정보 및 첨부파일을 NH-ERP로 발송
• 최초 계약시에는 단순 Insert지만 변경계약시 Insert할지 Update 할지 논의필요
  변경 계약시 기존 대금정보를 유지하는 방안 포함하여 검토 필요</t>
    <phoneticPr fontId="60" type="noConversion"/>
  </si>
  <si>
    <t>SOM 연동</t>
    <phoneticPr fontId="60" type="noConversion"/>
  </si>
  <si>
    <t>결재정보 연동</t>
    <phoneticPr fontId="60" type="noConversion"/>
  </si>
  <si>
    <t>•  전자구매시스템의 결재상신 시 당사 SOM과 연동하여 처리</t>
    <phoneticPr fontId="60" type="noConversion"/>
  </si>
  <si>
    <t>대금지급정보 연동</t>
    <phoneticPr fontId="60" type="noConversion"/>
  </si>
  <si>
    <t>• 계약후 발생하는 NH-ERP의 대금정산 정보를 전자구매시스템으로 발송</t>
    <phoneticPr fontId="60" type="noConversion"/>
  </si>
  <si>
    <t>검수정보 연동</t>
    <phoneticPr fontId="60" type="noConversion"/>
  </si>
  <si>
    <t>PMS -&gt; ePro 연동</t>
    <phoneticPr fontId="60" type="noConversion"/>
  </si>
  <si>
    <t>ePro -&gt; SOM 연동</t>
    <phoneticPr fontId="60" type="noConversion"/>
  </si>
  <si>
    <t>ePro -&gt; NH-ERP 연동</t>
    <phoneticPr fontId="60" type="noConversion"/>
  </si>
  <si>
    <t>NH-ERP -&gt; ePro 연동</t>
    <phoneticPr fontId="60" type="noConversion"/>
  </si>
  <si>
    <t>계약서 복사 기능</t>
    <phoneticPr fontId="60" type="noConversion"/>
  </si>
  <si>
    <t>• 계약대기현황 화면에서 품목을 체크하고 전자계약서 작성 버튼외 기존 계약서 선택해서 자동작성하여 주는 기능(변경계약서 작성과 유사함)</t>
    <phoneticPr fontId="60" type="noConversion"/>
  </si>
  <si>
    <t>수의시담 생략</t>
    <phoneticPr fontId="60" type="noConversion"/>
  </si>
  <si>
    <t xml:space="preserve">수의시담 생략 </t>
    <phoneticPr fontId="60" type="noConversion"/>
  </si>
  <si>
    <t>계약관리</t>
    <phoneticPr fontId="60" type="noConversion"/>
  </si>
  <si>
    <t>계약서 복사</t>
    <phoneticPr fontId="60" type="noConversion"/>
  </si>
  <si>
    <t>수의시담</t>
    <phoneticPr fontId="60" type="noConversion"/>
  </si>
  <si>
    <t>• 구매의뢰접수 화면에서 수의시담 클릭후 팝업에서 수의시담을 생략하고 바로 선정품의로 이동하는 기능</t>
    <phoneticPr fontId="60" type="noConversion"/>
  </si>
  <si>
    <t>고객사 先전자서명</t>
    <phoneticPr fontId="60" type="noConversion"/>
  </si>
  <si>
    <t>전자서명 순서 변경</t>
    <phoneticPr fontId="60" type="noConversion"/>
  </si>
  <si>
    <t>계약 편의 기능</t>
    <phoneticPr fontId="60" type="noConversion"/>
  </si>
  <si>
    <t>• 계약서 작성시 고객사 선서명 선택시 먼저 서명하고 협력사 서명하는 기능 추가
• 협력사 서명후 이행보증증권 오류시 이행보증증권 파일 교체 가능하도록 기능 추가</t>
    <phoneticPr fontId="60" type="noConversion"/>
  </si>
  <si>
    <t>공통 개선 기능</t>
    <phoneticPr fontId="60" type="noConversion"/>
  </si>
  <si>
    <t>입찰관리</t>
    <phoneticPr fontId="60" type="noConversion"/>
  </si>
  <si>
    <t>유찰 후 수의시담 연계기능</t>
    <phoneticPr fontId="60" type="noConversion"/>
  </si>
  <si>
    <t>변경계약시 대금정산내역 유지</t>
    <phoneticPr fontId="60" type="noConversion"/>
  </si>
  <si>
    <t>발주관리</t>
    <phoneticPr fontId="60" type="noConversion"/>
  </si>
  <si>
    <t>통계관리</t>
    <phoneticPr fontId="60" type="noConversion"/>
  </si>
  <si>
    <t>대금지급이력 화면 링크 추가</t>
    <phoneticPr fontId="60" type="noConversion"/>
  </si>
  <si>
    <t>대금지급현황 화면 링크추가</t>
    <phoneticPr fontId="60" type="noConversion"/>
  </si>
  <si>
    <t>• 계약번호, 발주번호 클릭시 팝업창에 해당 정보 표시
• 통계관리 &gt; 통계관리 &gt; 대금지급이력 화면</t>
    <phoneticPr fontId="60" type="noConversion"/>
  </si>
  <si>
    <t xml:space="preserve">신규 기능 </t>
    <phoneticPr fontId="60" type="noConversion"/>
  </si>
  <si>
    <t>실적증명원 발급 요청 및 승인</t>
    <phoneticPr fontId="60" type="noConversion"/>
  </si>
  <si>
    <t>계약의뢰 정보 연동</t>
    <phoneticPr fontId="60" type="noConversion"/>
  </si>
  <si>
    <t>• PMS의 수주품의, 사업품의 완료 후 프로젝트코드 및 매입 정보를 전자구매시스템으로 발송
  기존 인터페이스의 수정</t>
    <phoneticPr fontId="60" type="noConversion"/>
  </si>
  <si>
    <r>
      <t>• 계약체결 후 실적증명원 발급을 신청하는 협력사 화면 (실적 인정금액을 입력할수 있어야함)
• 신청된 실적증명원 발급을 승인하는 고객사 화면 (실적 인정금액을 수정할수 있어야함)
• 승인된 실적증명원을 출력하는 협력사 화면</t>
    </r>
    <r>
      <rPr>
        <sz val="9"/>
        <color rgb="FF0000FF"/>
        <rFont val="맑은 고딕"/>
        <family val="3"/>
        <charset val="129"/>
      </rPr>
      <t xml:space="preserve"> </t>
    </r>
    <r>
      <rPr>
        <b/>
        <sz val="9"/>
        <color rgb="FF0000FF"/>
        <rFont val="맑은 고딕"/>
        <family val="3"/>
        <charset val="129"/>
      </rPr>
      <t>(출력시 건당 수수료 부과 가능)</t>
    </r>
    <phoneticPr fontId="60" type="noConversion"/>
  </si>
  <si>
    <t>검수조건</t>
    <phoneticPr fontId="67" type="noConversion"/>
  </si>
  <si>
    <t>지급형태</t>
    <phoneticPr fontId="67" type="noConversion"/>
  </si>
  <si>
    <t>발생금액</t>
    <phoneticPr fontId="67" type="noConversion"/>
  </si>
  <si>
    <t>지급예정일</t>
    <phoneticPr fontId="67" type="noConversion"/>
  </si>
  <si>
    <t>대금구분</t>
    <phoneticPr fontId="67" type="noConversion"/>
  </si>
  <si>
    <t>대금계획</t>
    <phoneticPr fontId="67" type="noConversion"/>
  </si>
  <si>
    <t>전자구매</t>
    <phoneticPr fontId="67" type="noConversion"/>
  </si>
  <si>
    <t>제조사</t>
    <phoneticPr fontId="67" type="noConversion"/>
  </si>
  <si>
    <t>유지보수요율</t>
    <phoneticPr fontId="67" type="noConversion"/>
  </si>
  <si>
    <t>유지보수대상도입금액</t>
    <phoneticPr fontId="67" type="noConversion"/>
  </si>
  <si>
    <t>물품무상유지보수기간(월)</t>
    <phoneticPr fontId="67" type="noConversion"/>
  </si>
  <si>
    <t>물품할인율</t>
    <phoneticPr fontId="67" type="noConversion"/>
  </si>
  <si>
    <t>물품소비자금액</t>
    <phoneticPr fontId="67" type="noConversion"/>
  </si>
  <si>
    <t>용역할인율</t>
    <phoneticPr fontId="67" type="noConversion"/>
  </si>
  <si>
    <t>용역사업대가총액</t>
    <phoneticPr fontId="67" type="noConversion"/>
  </si>
  <si>
    <t>품목명(금액이 가장큰 하나만)</t>
    <phoneticPr fontId="67" type="noConversion"/>
  </si>
  <si>
    <t>기타첨부파일</t>
    <phoneticPr fontId="67" type="noConversion"/>
  </si>
  <si>
    <t>견적서</t>
    <phoneticPr fontId="67" type="noConversion"/>
  </si>
  <si>
    <t>계약서</t>
    <phoneticPr fontId="67" type="noConversion"/>
  </si>
  <si>
    <t>협력업체담당자전화번호</t>
    <phoneticPr fontId="67" type="noConversion"/>
  </si>
  <si>
    <t>협력업체담당자이메일</t>
    <phoneticPr fontId="67" type="noConversion"/>
  </si>
  <si>
    <t>협력업체담당자</t>
    <phoneticPr fontId="67" type="noConversion"/>
  </si>
  <si>
    <t>계약담당자</t>
    <phoneticPr fontId="67" type="noConversion"/>
  </si>
  <si>
    <t>계약금액</t>
    <phoneticPr fontId="67" type="noConversion"/>
  </si>
  <si>
    <t>계약종료일</t>
    <phoneticPr fontId="67" type="noConversion"/>
  </si>
  <si>
    <t>계약시작일</t>
    <phoneticPr fontId="67" type="noConversion"/>
  </si>
  <si>
    <t>계약금액구분</t>
    <phoneticPr fontId="67" type="noConversion"/>
  </si>
  <si>
    <t>계약체결일</t>
    <phoneticPr fontId="67" type="noConversion"/>
  </si>
  <si>
    <t>계약할인율</t>
    <phoneticPr fontId="67" type="noConversion"/>
  </si>
  <si>
    <t>관리구분</t>
    <phoneticPr fontId="67" type="noConversion"/>
  </si>
  <si>
    <t>추정금액</t>
    <phoneticPr fontId="67" type="noConversion"/>
  </si>
  <si>
    <t>낙찰자결정방법</t>
    <phoneticPr fontId="67" type="noConversion"/>
  </si>
  <si>
    <t>계약방법</t>
    <phoneticPr fontId="67" type="noConversion"/>
  </si>
  <si>
    <t>계약형태</t>
    <phoneticPr fontId="67" type="noConversion"/>
  </si>
  <si>
    <t>거래구분</t>
    <phoneticPr fontId="67" type="noConversion"/>
  </si>
  <si>
    <t>계약상대방</t>
    <phoneticPr fontId="67" type="noConversion"/>
  </si>
  <si>
    <t>계약명</t>
    <phoneticPr fontId="67" type="noConversion"/>
  </si>
  <si>
    <t>계약번호 (프로젝트코드+P000)</t>
    <phoneticPr fontId="67" type="noConversion"/>
  </si>
  <si>
    <t>영업대표</t>
    <phoneticPr fontId="67" type="noConversion"/>
  </si>
  <si>
    <t>대표고객명</t>
    <phoneticPr fontId="67" type="noConversion"/>
  </si>
  <si>
    <t>수행PM</t>
    <phoneticPr fontId="67" type="noConversion"/>
  </si>
  <si>
    <t>프로젝트명</t>
    <phoneticPr fontId="67" type="noConversion"/>
  </si>
  <si>
    <t>프로젝트코드</t>
    <phoneticPr fontId="67" type="noConversion"/>
  </si>
  <si>
    <t>계약원장</t>
    <phoneticPr fontId="67" type="noConversion"/>
  </si>
  <si>
    <t>ERP</t>
    <phoneticPr fontId="67" type="noConversion"/>
  </si>
  <si>
    <t>컬럼</t>
    <phoneticPr fontId="67" type="noConversion"/>
  </si>
  <si>
    <t>테이블</t>
    <phoneticPr fontId="67" type="noConversion"/>
  </si>
  <si>
    <t>구분</t>
    <phoneticPr fontId="67" type="noConversion"/>
  </si>
  <si>
    <t>대금지급조건(비고)</t>
    <phoneticPr fontId="67" type="noConversion"/>
  </si>
  <si>
    <t>지금예정금액</t>
    <phoneticPr fontId="67" type="noConversion"/>
  </si>
  <si>
    <t>차수명</t>
    <phoneticPr fontId="67" type="noConversion"/>
  </si>
  <si>
    <t>차수구분</t>
    <phoneticPr fontId="67" type="noConversion"/>
  </si>
  <si>
    <t>차수</t>
    <phoneticPr fontId="67" type="noConversion"/>
  </si>
  <si>
    <t>대금원장</t>
    <phoneticPr fontId="67" type="noConversion"/>
  </si>
  <si>
    <t>계약이행보증금액</t>
    <phoneticPr fontId="67" type="noConversion"/>
  </si>
  <si>
    <t>사업담당자</t>
    <phoneticPr fontId="67" type="noConversion"/>
  </si>
  <si>
    <t>협력사첨부파일</t>
    <phoneticPr fontId="67" type="noConversion"/>
  </si>
  <si>
    <t>고객사첨부파일</t>
    <phoneticPr fontId="67" type="noConversion"/>
  </si>
  <si>
    <t>계약이행보증증권파일</t>
    <phoneticPr fontId="67" type="noConversion"/>
  </si>
  <si>
    <t>지체상금율2</t>
    <phoneticPr fontId="67" type="noConversion"/>
  </si>
  <si>
    <t>지체상금율1</t>
    <phoneticPr fontId="67" type="noConversion"/>
  </si>
  <si>
    <t>협력업체명</t>
    <phoneticPr fontId="67" type="noConversion"/>
  </si>
  <si>
    <t>계약의뢰금액</t>
    <phoneticPr fontId="67" type="noConversion"/>
  </si>
  <si>
    <t>서식명</t>
    <phoneticPr fontId="67" type="noConversion"/>
  </si>
  <si>
    <t>계약구분 [신규/변경/연장]</t>
    <phoneticPr fontId="67" type="noConversion"/>
  </si>
  <si>
    <t>계약일자</t>
    <phoneticPr fontId="67" type="noConversion"/>
  </si>
  <si>
    <t>계약차수</t>
    <phoneticPr fontId="67" type="noConversion"/>
  </si>
  <si>
    <t>계약번호</t>
    <phoneticPr fontId="67" type="noConversion"/>
  </si>
  <si>
    <t>제우스 8전환</t>
    <phoneticPr fontId="60" type="noConversion"/>
  </si>
  <si>
    <t>RQ-PR-IT20260001</t>
    <phoneticPr fontId="60" type="noConversion"/>
  </si>
  <si>
    <t>제우스 7 → 8 업그레이드 대응 전환</t>
    <phoneticPr fontId="60" type="noConversion"/>
  </si>
  <si>
    <t>•  제우스 7 → 8 업그레이드 대응 전환</t>
    <phoneticPr fontId="60" type="noConversion"/>
  </si>
  <si>
    <t>권용학</t>
    <phoneticPr fontId="60" type="noConversion"/>
  </si>
  <si>
    <t>그리드 자료 엑셀 다운로드시 엑셀 암호화 적용</t>
    <phoneticPr fontId="60" type="noConversion"/>
  </si>
  <si>
    <t>RQ-PR-IT20260002</t>
    <phoneticPr fontId="60" type="noConversion"/>
  </si>
  <si>
    <t>•  그리드에서 엑셀로 다운로드 받을 때 팝업을 띄우고 상용자가 입력한 비밀번호로 엑셀파일의 암호화 기능을 이용해 파일 생성</t>
    <phoneticPr fontId="60" type="noConversion"/>
  </si>
  <si>
    <t>부별 조회</t>
    <phoneticPr fontId="60" type="noConversion"/>
  </si>
  <si>
    <t>RQ-PR-IT20260003</t>
    <phoneticPr fontId="60" type="noConversion"/>
  </si>
  <si>
    <t>화면 조회시 부서내 데이터만 조회</t>
    <phoneticPr fontId="60" type="noConversion"/>
  </si>
  <si>
    <r>
      <t xml:space="preserve">•  부 하위에 n개 팀 존재하고 부권한을 부여 받은 사용자는 자신이 속한 부 하위 n개팀의 구매/계약/발주건을 조회한다. 
※ 부서장은 해당 부에 매핑되어 있으며 겸직일 경우 상위부서에 매핑되어 있다.(하위 팀에 속해 있지 않음)
※ 본부-부-단-국-팀의 조직체계일때 사용자는 각 조직레벨에 매핑되어 있으며 타 조직의 건을 조회할 수 없음
</t>
    </r>
    <r>
      <rPr>
        <sz val="9"/>
        <color rgb="FFFF0000"/>
        <rFont val="맑은 고딕"/>
        <family val="3"/>
        <charset val="129"/>
      </rPr>
      <t>※지난 5월 회의때 요건에서는 담당자-부매핑 원장이 필요했으나 조직도 확인결과 부서장은 해당부에 매핑되어 있고 요건에서 타 조직을 조회할 필요가 없기 때문에 이 요건은 제외했습니다.</t>
    </r>
    <phoneticPr fontId="60" type="noConversion"/>
  </si>
  <si>
    <t>파일 삭제 프로세스 개발</t>
    <phoneticPr fontId="60" type="noConversion"/>
  </si>
  <si>
    <t>사용자</t>
    <phoneticPr fontId="60" type="noConversion"/>
  </si>
  <si>
    <t>RQ-PR-IT20260004</t>
    <phoneticPr fontId="60" type="noConversion"/>
  </si>
  <si>
    <t>보관중인 파일에 대한 삭제 처리</t>
    <phoneticPr fontId="60" type="noConversion"/>
  </si>
  <si>
    <t>개인정보 조회 이력</t>
    <phoneticPr fontId="60" type="noConversion"/>
  </si>
  <si>
    <t>RQ-PR-IT20260005</t>
    <phoneticPr fontId="60" type="noConversion"/>
  </si>
  <si>
    <t>개인정보가 조회되는 화면 조회시 조회 이력 관리</t>
    <phoneticPr fontId="60" type="noConversion"/>
  </si>
  <si>
    <t>AI 최저가 및 평균가 조회</t>
    <phoneticPr fontId="60" type="noConversion"/>
  </si>
  <si>
    <t>RQ-PR-IT20260006</t>
    <phoneticPr fontId="60" type="noConversion"/>
  </si>
  <si>
    <t>RQ-PR-IT20260007</t>
    <phoneticPr fontId="60" type="noConversion"/>
  </si>
  <si>
    <t>RQ-PR-IT20260008</t>
    <phoneticPr fontId="60" type="noConversion"/>
  </si>
  <si>
    <t>RQ-PR-IT20260009</t>
    <phoneticPr fontId="60" type="noConversion"/>
  </si>
  <si>
    <t>RQ-PR-IT20260010</t>
    <phoneticPr fontId="60" type="noConversion"/>
  </si>
  <si>
    <t>RQ-PR-IT20260011</t>
    <phoneticPr fontId="60" type="noConversion"/>
  </si>
  <si>
    <t>RQ-PR-IT20260012</t>
    <phoneticPr fontId="60" type="noConversion"/>
  </si>
  <si>
    <t>RQ-PR-IT20260013</t>
    <phoneticPr fontId="60" type="noConversion"/>
  </si>
  <si>
    <t>RQ-PR-IT20260014</t>
    <phoneticPr fontId="60" type="noConversion"/>
  </si>
  <si>
    <t>RQ-PR-IT20260015</t>
    <phoneticPr fontId="60" type="noConversion"/>
  </si>
  <si>
    <t>RQ-PR-IT20260016</t>
    <phoneticPr fontId="60" type="noConversion"/>
  </si>
  <si>
    <t>RQ-PR-IT20260017</t>
    <phoneticPr fontId="60" type="noConversion"/>
  </si>
  <si>
    <t>RQ-PR-IT20260018</t>
    <phoneticPr fontId="60" type="noConversion"/>
  </si>
  <si>
    <t>RQ-PR-IT20260019</t>
    <phoneticPr fontId="60" type="noConversion"/>
  </si>
  <si>
    <t>RQ-PR-IT20260020</t>
    <phoneticPr fontId="60" type="noConversion"/>
  </si>
  <si>
    <t>농협정보시스템 전용 기능</t>
    <phoneticPr fontId="60" type="noConversion"/>
  </si>
  <si>
    <t>전사기능</t>
    <phoneticPr fontId="60" type="noConversion"/>
  </si>
  <si>
    <t>M/M</t>
    <phoneticPr fontId="60" type="noConversion"/>
  </si>
  <si>
    <t>수행사 비고</t>
    <phoneticPr fontId="60" type="noConversion"/>
  </si>
  <si>
    <t>비고</t>
    <phoneticPr fontId="60" type="noConversion"/>
  </si>
  <si>
    <t>회사별 해당 로직 사용유무 셋팅
부서별 권한 매핑 신규 화면
각 업무화면에서 조회 쿼리 모두 수정</t>
    <phoneticPr fontId="60" type="noConversion"/>
  </si>
  <si>
    <t>이력 TABLE 신규 생성
이력 조회 화면 개발
각 업무화면에서 조회시 이력 TABLE에 INSERT</t>
    <phoneticPr fontId="60" type="noConversion"/>
  </si>
  <si>
    <t>• 유찰 후 수의시담을 입찰로 계속 진행하는것은 대내외적으로 오해를 살수 있으므로 유찰 버튼 클릭시 구매의뢰접수에서 의뢰내용을 수정할수 있도록 개선
• 유찰 후 수의계약 되었음을 알수 있도록 유찰 공고번호 데이터 저장 및 조회 되도록 개선
• 계약방법을 수의계약으로 할지 유찰 후 수의계약이라고 별도 구분자를 추가할지 고민필요</t>
    <phoneticPr fontId="60" type="noConversion"/>
  </si>
  <si>
    <t>• 변경계약시 계약발주하면 기존 계약의 대금정산내역이 반영되지 않은 계약발주서가 생성되어 사용이 불가능 결국 다시 수기발주 해야함
• 변경계약시 기존 계약의 대금정산 내역을 복사해서 그대로 적용되도록 개선
• 기존 발주서의 검수 및 지급정보를 그대로 복사하고 기존 발주서는 종료처리</t>
    <phoneticPr fontId="60" type="noConversion"/>
  </si>
  <si>
    <r>
      <t>•  파일을 삭제 권한 부여를 통한 사용자 지정 기능 필요
•  고객사/부서/팀내 존재하는 파일 목록 조회 가능
•  권한을 부여받은 사용자는 대상을 등록(선택)하고 결재 상신
•  결재가 완료되면 시스템 배치를 통해 매월1회 백업경로로 이동하고 
   화면에서는 삭제처리로 표기, 파일을 등록한 원천 화면에서는 조회 불가
•  삭제현황에서 삭제 내역(정보</t>
    </r>
    <r>
      <rPr>
        <sz val="8"/>
        <color rgb="FF000000"/>
        <rFont val="맑은 고딕"/>
        <family val="3"/>
        <charset val="129"/>
      </rPr>
      <t>)</t>
    </r>
    <r>
      <rPr>
        <sz val="9"/>
        <color rgb="FF000000"/>
        <rFont val="맑은 고딕"/>
        <family val="3"/>
        <charset val="129"/>
      </rPr>
      <t xml:space="preserve"> 조회, 배치작업전 복구 가능
•  백업경로 3개월 후 완전 삭제 처리
•  삭제하기전 다운로드 기능 제공</t>
    </r>
    <phoneticPr fontId="60" type="noConversion"/>
  </si>
  <si>
    <t>• 계약번호, 발주번호 클릭시 팝업창에 해당 정보 표시
• 발주관리 &gt; 대금지급 &gt; 대금지급현황 화면</t>
    <phoneticPr fontId="60" type="noConversion"/>
  </si>
  <si>
    <t xml:space="preserve">파일조회 화면(1개 신규)
, 결재연동 및 batch 2개 신규 </t>
    <phoneticPr fontId="60" type="noConversion"/>
  </si>
  <si>
    <t>M/M
(06/12)</t>
    <phoneticPr fontId="60" type="noConversion"/>
  </si>
  <si>
    <t>-</t>
    <phoneticPr fontId="60" type="noConversion"/>
  </si>
  <si>
    <t>검토우선 &amp; (주요 화면 &amp; 기능 점검)</t>
    <phoneticPr fontId="60" type="noConversion"/>
  </si>
  <si>
    <t>•  개인정보 존재 화면을 등록할 수 있고 등록된 화면에 대해 선택에 따라 
SKIP(제약없이 조회), 사유를 입력하는 옵션, 결재필요(선결/후결)옵션을 둔다.
•  개인정보는 화면에서 기본으로 마스킹으로 되어 있으며 위 조건에 따라(skip,사유입력,결재처리) 마스킹을 해제하여 조회한다.
   1) 개인정보조회 버튼 클릭
   2) 사유입력 -&gt; 재조회시 마스킹 해제
   2) 결재상신(선결) -&gt; 결재가 완료 -&gt; 완료후 화면 재조회시 마스킹 해제
   3) 결재상신(후결) -&gt; 재조회시 마스킹 해제
•  조회조건 및 조회SQL, 조회담당자, 결재담당자, 조회화면, 조회시간, 조회사유 등을 DB화하여 어떤 데이터가 조회되었는지 알 수 있도록 한다</t>
    <phoneticPr fontId="60" type="noConversion"/>
  </si>
  <si>
    <t>•  농협정보내 AI LLM과 연계
•  품목정보에서 버튼을 클릭 -&gt; JSON을 통해 품목정보(한글)을 AI로 전달  -&gt; AI시스템에서 결과값을 JSON형태로 제공 -&gt; 전달받은 데이터를 팝업으로 화면에 출력  -&gt; 요청정보+수신정보 DB에 적재
•  팝업창에서 과거 조회 이력과 현재데이터 조회 가능하도록 구성
•  AI 결과 데이터(목록) 조회 화면 개발</t>
    <phoneticPr fontId="60" type="noConversion"/>
  </si>
  <si>
    <t>No</t>
    <phoneticPr fontId="60" type="noConversion"/>
  </si>
  <si>
    <t>M/M
(06/18)</t>
    <phoneticPr fontId="60" type="noConversion"/>
  </si>
  <si>
    <r>
      <t>제외)</t>
    </r>
    <r>
      <rPr>
        <strike/>
        <sz val="9"/>
        <color rgb="FF000000"/>
        <rFont val="맑은 고딕"/>
        <family val="3"/>
        <charset val="129"/>
      </rPr>
      <t>계약정보 송신 i/f</t>
    </r>
    <phoneticPr fontId="60" type="noConversion"/>
  </si>
  <si>
    <r>
      <t>제외)</t>
    </r>
    <r>
      <rPr>
        <strike/>
        <sz val="9"/>
        <color rgb="FF000000"/>
        <rFont val="맑은 고딕"/>
        <family val="3"/>
        <charset val="129"/>
      </rPr>
      <t>대금정산 정보 수신 i/f</t>
    </r>
    <phoneticPr fontId="60" type="noConversion"/>
  </si>
  <si>
    <r>
      <t>제외)</t>
    </r>
    <r>
      <rPr>
        <strike/>
        <sz val="9"/>
        <color rgb="FF000000"/>
        <rFont val="맑은 고딕"/>
        <family val="3"/>
        <charset val="129"/>
      </rPr>
      <t xml:space="preserve">기존 i/f 정보 추가 </t>
    </r>
    <phoneticPr fontId="60" type="noConversion"/>
  </si>
  <si>
    <t>제외)중복</t>
    <phoneticPr fontId="60" type="noConversion"/>
  </si>
  <si>
    <t>SOM(모바일결재) : 전자구매시스템의 상신 page를 pdf(link 포함) 제공 후 link로 상세내역 조회
 1.일반건 : 상신page를 pdf로 연계
 2.예외건 : 예가 상신건은 SOM에서 확정 예가를 등록 후 전자구매시스템에서 수신(협의 필요)
 3.공통 : 결재결과(승인/반려) 수신 - 전자구매시스템에서 이미 결재 진행시 skip</t>
    <phoneticPr fontId="60" type="noConversion"/>
  </si>
  <si>
    <t>기존 i/f 확인(Y로 보이는 건이 존재함) 및 보완 후 추가 정보(변경내역) i/f</t>
    <phoneticPr fontId="60" type="noConversion"/>
  </si>
  <si>
    <t>선택된 품목을 기존계약(팝업에서 기존계약 선택)을 참조하여 신규 계약서를 작성
(기존계약에서 유지되는 항목은 협의 후 결정)</t>
    <phoneticPr fontId="60" type="noConversion"/>
  </si>
  <si>
    <t>선택된 구매의뢰 건으로 선정품의작성(버튼 추가)할 수 있도록 기능 구현</t>
    <phoneticPr fontId="60" type="noConversion"/>
  </si>
  <si>
    <t>계약서 작성시 선서명 여부를 관리하여 선서명인 계약건에 대해 전자서명을 먼저 진행하고 협력사로 전송</t>
    <phoneticPr fontId="60" type="noConversion"/>
  </si>
  <si>
    <t>4~5개 신규화면으로 구성하고 결정되는 과금정책 반영
(실적증명서에 QR 코드 Display 고려)</t>
    <phoneticPr fontId="60" type="noConversion"/>
  </si>
  <si>
    <t>유찰건 구매의뢰접수에서 수정기능, 구매의뢰건에 대한 추적 조회(ex : 입찰-수의시담)
(수의시담을 진행할 경우 기존 유찰건의 모든 품목으로만 진행가능)</t>
    <phoneticPr fontId="60" type="noConversion"/>
  </si>
  <si>
    <t>변경 계약시 대금 정산 진행사항을 고려한 자동 발주 생성
(기존 계약을 종결처리 하며 기 정산된 내역을 감안하여 신규 자동발주 생성)</t>
    <phoneticPr fontId="60" type="noConversion"/>
  </si>
  <si>
    <t>링크 2개 추가</t>
    <phoneticPr fontId="60" type="noConversion"/>
  </si>
  <si>
    <t>신규화면 1본(팝업)으로 구성하며, 조회 이력 보관</t>
    <phoneticPr fontId="6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</si>
</sst>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yy&quot;/&quot;mm&quot;/&quot;dd"/>
    <numFmt numFmtId="177" formatCode="#,##0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  <numFmt numFmtId="184" formatCode="_-* #,##0.00_-;&quot;₩&quot;&quot;₩&quot;&quot;₩&quot;\-* #,##0.00_-;_-* &quot;-&quot;??_-;_-@_-"/>
    <numFmt numFmtId="185" formatCode="&quot;₩&quot;&quot;₩&quot;&quot;₩&quot;\$#,##0.00_);&quot;₩&quot;&quot;₩&quot;\(&quot;₩&quot;&quot;₩&quot;&quot;₩&quot;\$#,##0.00&quot;₩&quot;&quot;₩&quot;&quot;₩&quot;\)"/>
    <numFmt numFmtId="186" formatCode="&quot;₩&quot;#,##0;&quot;₩&quot;&quot;₩&quot;\-#,##0"/>
    <numFmt numFmtId="187" formatCode="&quot;₩&quot;#,##0.00;&quot;₩&quot;&quot;₩&quot;\-#,##0.00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&quot;DM&quot;_-;\-* #,##0\ &quot;DM&quot;_-;_-* &quot;-&quot;\ &quot;DM&quot;_-;_-@_-"/>
    <numFmt numFmtId="191" formatCode="_-* #,##0.00\ &quot;DM&quot;_-;\-* #,##0.00\ &quot;DM&quot;_-;_-* &quot;-&quot;??\ &quot;DM&quot;_-;_-@_-"/>
    <numFmt numFmtId="192" formatCode="[$-412]\(ddd\)"/>
    <numFmt numFmtId="193" formatCode="_(&quot;$&quot;* #,##0.00_);_(&quot;$&quot;* \(#,##0.00\);_(&quot;$&quot;* &quot;-&quot;??_);_(@_)"/>
    <numFmt numFmtId="194" formatCode="[$-409]d&quot;-&quot;mmm;@"/>
    <numFmt numFmtId="195" formatCode="&quot;₩&quot;#,##0;&quot;₩&quot;&quot;₩&quot;&quot;₩&quot;&quot;₩&quot;\-#,##0"/>
    <numFmt numFmtId="196" formatCode="&quot;₩&quot;#,##0;[Red]&quot;₩&quot;&quot;₩&quot;&quot;₩&quot;&quot;₩&quot;\-#,##0"/>
    <numFmt numFmtId="197" formatCode="_-&quot;$&quot;* #,##0.0_-;&quot;₩&quot;&quot;₩&quot;&quot;₩&quot;&quot;₩&quot;&quot;₩&quot;&quot;₩&quot;\-&quot;$&quot;* #,##0.0_-;_-&quot;$&quot;* &quot;-&quot;??_-;_-@_-"/>
    <numFmt numFmtId="198" formatCode="&quot;₩&quot;#,##0;[Red]&quot;₩&quot;\-&quot;₩&quot;#,##0"/>
    <numFmt numFmtId="199" formatCode="&quot;₩&quot;#,##0;&quot;₩&quot;\-&quot;₩&quot;#,##0"/>
    <numFmt numFmtId="200" formatCode="&quot;₩&quot;#,##0.00;&quot;₩&quot;&quot;₩&quot;&quot;₩&quot;&quot;₩&quot;\-#,##0.00"/>
  </numFmts>
  <fonts count="72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FFFFFF"/>
      <name val="맑은 고딕"/>
      <family val="3"/>
      <charset val="129"/>
    </font>
    <font>
      <b/>
      <sz val="10"/>
      <color rgb="FF000000"/>
      <name val="한컴바탕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Arial"/>
      <family val="2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C0C0C0"/>
      <name val="돋움"/>
      <family val="3"/>
      <charset val="129"/>
    </font>
    <font>
      <sz val="9"/>
      <color rgb="FF000000"/>
      <name val="돋움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808080"/>
      <name val="돋움"/>
      <family val="3"/>
      <charset val="129"/>
    </font>
    <font>
      <sz val="12"/>
      <color rgb="FF000000"/>
      <name val="바탕체"/>
      <family val="1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C0C0C0"/>
      <name val="돋움체"/>
      <family val="3"/>
      <charset val="129"/>
    </font>
    <font>
      <b/>
      <sz val="11"/>
      <color rgb="FF333333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0"/>
      <color rgb="FF000000"/>
      <name val="한컴바탕"/>
      <family val="1"/>
      <charset val="129"/>
    </font>
    <font>
      <u/>
      <sz val="10"/>
      <color rgb="FF0000FF"/>
      <name val="한컴바탕"/>
      <family val="1"/>
      <charset val="129"/>
    </font>
    <font>
      <sz val="12"/>
      <color rgb="FF000000"/>
      <name val="한컴바탕"/>
      <family val="1"/>
      <charset val="129"/>
    </font>
    <font>
      <b/>
      <sz val="11"/>
      <color rgb="FFFA7D00"/>
      <name val="맑은 고딕"/>
      <family val="3"/>
      <charset val="129"/>
    </font>
    <font>
      <b/>
      <sz val="1"/>
      <color rgb="FF000000"/>
      <name val="한컴바탕"/>
      <family val="1"/>
      <charset val="129"/>
    </font>
    <font>
      <sz val="11"/>
      <color rgb="FF9C0006"/>
      <name val="맑은 고딕"/>
      <family val="3"/>
      <charset val="129"/>
    </font>
    <font>
      <sz val="1"/>
      <color rgb="FF000000"/>
      <name val="한컴바탕"/>
      <family val="1"/>
      <charset val="129"/>
    </font>
    <font>
      <u/>
      <sz val="10"/>
      <color rgb="FFFF00FF"/>
      <name val="한컴바탕"/>
      <family val="1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1"/>
      <color rgb="FF0000FF"/>
      <name val="돋움"/>
      <family val="3"/>
      <charset val="129"/>
    </font>
    <font>
      <sz val="12"/>
      <color rgb="FF000000"/>
      <name val="굴림"/>
      <family val="3"/>
      <charset val="129"/>
    </font>
    <font>
      <sz val="11"/>
      <color rgb="FF000000"/>
      <name val="바탕체"/>
      <family val="1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u/>
      <sz val="14"/>
      <color rgb="FF000000"/>
      <name val="맑은 고딕"/>
      <family val="3"/>
      <charset val="129"/>
    </font>
    <font>
      <b/>
      <i/>
      <u/>
      <sz val="10"/>
      <color rgb="FF00000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u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trike/>
      <sz val="9"/>
      <color rgb="FF000000"/>
      <name val="맑은 고딕"/>
      <family val="3"/>
      <charset val="129"/>
    </font>
  </fonts>
  <fills count="62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rgb="FF666699"/>
      </left>
      <right style="hair">
        <color rgb="FF666699"/>
      </right>
      <top style="hair">
        <color rgb="FF666699"/>
      </top>
      <bottom style="hair">
        <color rgb="FF6666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72">
    <xf numFmtId="0" fontId="0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2" fillId="12" borderId="0">
      <alignment vertical="center"/>
    </xf>
    <xf numFmtId="0" fontId="2" fillId="12" borderId="0">
      <alignment vertical="center"/>
    </xf>
    <xf numFmtId="0" fontId="2" fillId="12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3" fillId="0" borderId="0"/>
    <xf numFmtId="178" fontId="1" fillId="0" borderId="0"/>
    <xf numFmtId="179" fontId="1" fillId="0" borderId="0"/>
    <xf numFmtId="180" fontId="1" fillId="0" borderId="0"/>
    <xf numFmtId="38" fontId="4" fillId="16" borderId="0"/>
    <xf numFmtId="0" fontId="5" fillId="0" borderId="0">
      <alignment horizontal="left"/>
    </xf>
    <xf numFmtId="0" fontId="6" fillId="0" borderId="1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0" fontId="7" fillId="0" borderId="4"/>
    <xf numFmtId="181" fontId="1" fillId="0" borderId="0"/>
    <xf numFmtId="10" fontId="8" fillId="0" borderId="0"/>
    <xf numFmtId="0" fontId="7" fillId="0" borderId="0"/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1" fillId="3" borderId="0">
      <alignment vertical="center"/>
    </xf>
    <xf numFmtId="0" fontId="11" fillId="3" borderId="0">
      <alignment vertical="center"/>
    </xf>
    <xf numFmtId="0" fontId="11" fillId="3" borderId="0">
      <alignment vertical="center"/>
    </xf>
    <xf numFmtId="0" fontId="12" fillId="22" borderId="0">
      <alignment horizontal="center"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49" fontId="13" fillId="0" borderId="7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7" fillId="21" borderId="0">
      <alignment vertical="center"/>
    </xf>
    <xf numFmtId="177" fontId="13" fillId="0" borderId="7">
      <alignment horizontal="right" vertical="center"/>
    </xf>
    <xf numFmtId="0" fontId="18" fillId="0" borderId="0"/>
    <xf numFmtId="0" fontId="19" fillId="0" borderId="9">
      <alignment vertical="center"/>
    </xf>
    <xf numFmtId="0" fontId="19" fillId="0" borderId="9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2" fillId="0" borderId="11">
      <alignment vertical="center"/>
    </xf>
    <xf numFmtId="0" fontId="22" fillId="0" borderId="11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3" fillId="0" borderId="12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4" fillId="0" borderId="13">
      <alignment vertical="center"/>
    </xf>
    <xf numFmtId="0" fontId="24" fillId="0" borderId="13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7" fillId="26" borderId="0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9" fillId="27" borderId="15">
      <alignment vertical="center"/>
    </xf>
    <xf numFmtId="0" fontId="17" fillId="21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8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8" fillId="0" borderId="0"/>
    <xf numFmtId="0" fontId="30" fillId="0" borderId="0"/>
    <xf numFmtId="0" fontId="18" fillId="0" borderId="0"/>
    <xf numFmtId="0" fontId="18" fillId="0" borderId="0"/>
    <xf numFmtId="0" fontId="30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8" fillId="0" borderId="0"/>
    <xf numFmtId="184" fontId="1" fillId="0" borderId="0"/>
    <xf numFmtId="185" fontId="1" fillId="0" borderId="0"/>
    <xf numFmtId="0" fontId="30" fillId="0" borderId="0"/>
    <xf numFmtId="0" fontId="8" fillId="0" borderId="0"/>
    <xf numFmtId="182" fontId="8" fillId="0" borderId="0"/>
    <xf numFmtId="183" fontId="8" fillId="0" borderId="0"/>
    <xf numFmtId="186" fontId="1" fillId="0" borderId="0"/>
    <xf numFmtId="187" fontId="1" fillId="0" borderId="0"/>
    <xf numFmtId="188" fontId="8" fillId="0" borderId="0"/>
    <xf numFmtId="189" fontId="8" fillId="0" borderId="0"/>
    <xf numFmtId="0" fontId="31" fillId="0" borderId="0"/>
    <xf numFmtId="41" fontId="8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1" fontId="8" fillId="0" borderId="0"/>
    <xf numFmtId="0" fontId="32" fillId="0" borderId="0"/>
    <xf numFmtId="0" fontId="3" fillId="0" borderId="0"/>
    <xf numFmtId="0" fontId="1" fillId="0" borderId="0"/>
    <xf numFmtId="193" fontId="30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192" fontId="59" fillId="2" borderId="0">
      <alignment vertical="center"/>
    </xf>
    <xf numFmtId="0" fontId="59" fillId="28" borderId="0">
      <alignment vertical="center"/>
    </xf>
    <xf numFmtId="192" fontId="59" fillId="3" borderId="0">
      <alignment vertical="center"/>
    </xf>
    <xf numFmtId="0" fontId="59" fillId="29" borderId="0">
      <alignment vertical="center"/>
    </xf>
    <xf numFmtId="192" fontId="59" fillId="4" borderId="0">
      <alignment vertical="center"/>
    </xf>
    <xf numFmtId="0" fontId="59" fillId="30" borderId="0">
      <alignment vertical="center"/>
    </xf>
    <xf numFmtId="192" fontId="59" fillId="5" borderId="0">
      <alignment vertical="center"/>
    </xf>
    <xf numFmtId="0" fontId="59" fillId="31" borderId="0">
      <alignment vertical="center"/>
    </xf>
    <xf numFmtId="192" fontId="59" fillId="6" borderId="0">
      <alignment vertical="center"/>
    </xf>
    <xf numFmtId="0" fontId="59" fillId="32" borderId="0">
      <alignment vertical="center"/>
    </xf>
    <xf numFmtId="192" fontId="59" fillId="7" borderId="0">
      <alignment vertical="center"/>
    </xf>
    <xf numFmtId="0" fontId="59" fillId="33" borderId="0">
      <alignment vertical="center"/>
    </xf>
    <xf numFmtId="192" fontId="59" fillId="8" borderId="0">
      <alignment vertical="center"/>
    </xf>
    <xf numFmtId="0" fontId="59" fillId="34" borderId="0">
      <alignment vertical="center"/>
    </xf>
    <xf numFmtId="192" fontId="59" fillId="9" borderId="0">
      <alignment vertical="center"/>
    </xf>
    <xf numFmtId="0" fontId="59" fillId="35" borderId="0">
      <alignment vertical="center"/>
    </xf>
    <xf numFmtId="192" fontId="59" fillId="10" borderId="0">
      <alignment vertical="center"/>
    </xf>
    <xf numFmtId="0" fontId="59" fillId="36" borderId="0">
      <alignment vertical="center"/>
    </xf>
    <xf numFmtId="192" fontId="59" fillId="5" borderId="0">
      <alignment vertical="center"/>
    </xf>
    <xf numFmtId="0" fontId="59" fillId="37" borderId="0">
      <alignment vertical="center"/>
    </xf>
    <xf numFmtId="192" fontId="59" fillId="8" borderId="0">
      <alignment vertical="center"/>
    </xf>
    <xf numFmtId="0" fontId="59" fillId="38" borderId="0">
      <alignment vertical="center"/>
    </xf>
    <xf numFmtId="192" fontId="59" fillId="11" borderId="0">
      <alignment vertical="center"/>
    </xf>
    <xf numFmtId="0" fontId="59" fillId="39" borderId="0">
      <alignment vertical="center"/>
    </xf>
    <xf numFmtId="192" fontId="2" fillId="12" borderId="0">
      <alignment vertical="center"/>
    </xf>
    <xf numFmtId="0" fontId="2" fillId="40" borderId="0">
      <alignment vertical="center"/>
    </xf>
    <xf numFmtId="192" fontId="2" fillId="9" borderId="0">
      <alignment vertical="center"/>
    </xf>
    <xf numFmtId="0" fontId="2" fillId="41" borderId="0">
      <alignment vertical="center"/>
    </xf>
    <xf numFmtId="192" fontId="2" fillId="10" borderId="0">
      <alignment vertical="center"/>
    </xf>
    <xf numFmtId="0" fontId="2" fillId="42" borderId="0">
      <alignment vertical="center"/>
    </xf>
    <xf numFmtId="192" fontId="2" fillId="13" borderId="0">
      <alignment vertical="center"/>
    </xf>
    <xf numFmtId="0" fontId="2" fillId="43" borderId="0">
      <alignment vertical="center"/>
    </xf>
    <xf numFmtId="192" fontId="2" fillId="14" borderId="0">
      <alignment vertical="center"/>
    </xf>
    <xf numFmtId="0" fontId="2" fillId="44" borderId="0">
      <alignment vertical="center"/>
    </xf>
    <xf numFmtId="192" fontId="2" fillId="15" borderId="0">
      <alignment vertical="center"/>
    </xf>
    <xf numFmtId="0" fontId="2" fillId="45" borderId="0">
      <alignment vertical="center"/>
    </xf>
    <xf numFmtId="192" fontId="2" fillId="17" borderId="0">
      <alignment vertical="center"/>
    </xf>
    <xf numFmtId="0" fontId="2" fillId="46" borderId="0">
      <alignment vertical="center"/>
    </xf>
    <xf numFmtId="192" fontId="2" fillId="18" borderId="0">
      <alignment vertical="center"/>
    </xf>
    <xf numFmtId="0" fontId="2" fillId="47" borderId="0">
      <alignment vertical="center"/>
    </xf>
    <xf numFmtId="192" fontId="2" fillId="19" borderId="0">
      <alignment vertical="center"/>
    </xf>
    <xf numFmtId="0" fontId="2" fillId="48" borderId="0">
      <alignment vertical="center"/>
    </xf>
    <xf numFmtId="192" fontId="2" fillId="13" borderId="0">
      <alignment vertical="center"/>
    </xf>
    <xf numFmtId="0" fontId="2" fillId="49" borderId="0">
      <alignment vertical="center"/>
    </xf>
    <xf numFmtId="192" fontId="2" fillId="14" borderId="0">
      <alignment vertical="center"/>
    </xf>
    <xf numFmtId="0" fontId="2" fillId="50" borderId="0">
      <alignment vertical="center"/>
    </xf>
    <xf numFmtId="192" fontId="2" fillId="20" borderId="0">
      <alignment vertical="center"/>
    </xf>
    <xf numFmtId="0" fontId="2" fillId="51" borderId="0">
      <alignment vertical="center"/>
    </xf>
    <xf numFmtId="192" fontId="9" fillId="0" borderId="0">
      <alignment vertical="center"/>
    </xf>
    <xf numFmtId="0" fontId="9" fillId="0" borderId="0">
      <alignment vertical="center"/>
    </xf>
    <xf numFmtId="192" fontId="10" fillId="21" borderId="5">
      <alignment vertical="center"/>
    </xf>
    <xf numFmtId="0" fontId="33" fillId="52" borderId="16">
      <alignment vertical="center"/>
    </xf>
    <xf numFmtId="195" fontId="18" fillId="0" borderId="0">
      <protection locked="0"/>
    </xf>
    <xf numFmtId="194" fontId="34" fillId="0" borderId="0">
      <protection locked="0"/>
    </xf>
    <xf numFmtId="194" fontId="34" fillId="0" borderId="0">
      <protection locked="0"/>
    </xf>
    <xf numFmtId="192" fontId="11" fillId="3" borderId="0">
      <alignment vertical="center"/>
    </xf>
    <xf numFmtId="0" fontId="35" fillId="53" borderId="0">
      <alignment vertical="center"/>
    </xf>
    <xf numFmtId="194" fontId="36" fillId="0" borderId="0">
      <protection locked="0"/>
    </xf>
    <xf numFmtId="194" fontId="36" fillId="0" borderId="0">
      <protection locked="0"/>
    </xf>
    <xf numFmtId="0" fontId="37" fillId="0" borderId="0"/>
    <xf numFmtId="192" fontId="1" fillId="23" borderId="6">
      <alignment vertical="center"/>
    </xf>
    <xf numFmtId="0" fontId="59" fillId="23" borderId="17">
      <alignment vertical="center"/>
    </xf>
    <xf numFmtId="9" fontId="1" fillId="0" borderId="0"/>
    <xf numFmtId="192" fontId="14" fillId="24" borderId="0">
      <alignment vertical="center"/>
    </xf>
    <xf numFmtId="0" fontId="38" fillId="54" borderId="0">
      <alignment vertical="center"/>
    </xf>
    <xf numFmtId="192" fontId="15" fillId="0" borderId="0">
      <alignment vertical="center"/>
    </xf>
    <xf numFmtId="0" fontId="39" fillId="0" borderId="0">
      <alignment vertical="center"/>
    </xf>
    <xf numFmtId="192" fontId="16" fillId="25" borderId="8">
      <alignment vertical="center"/>
    </xf>
    <xf numFmtId="0" fontId="16" fillId="55" borderId="18">
      <alignment vertical="center"/>
    </xf>
    <xf numFmtId="181" fontId="1" fillId="0" borderId="0">
      <alignment vertical="center"/>
    </xf>
    <xf numFmtId="0" fontId="8" fillId="0" borderId="0"/>
    <xf numFmtId="0" fontId="8" fillId="0" borderId="0"/>
    <xf numFmtId="0" fontId="18" fillId="0" borderId="0"/>
    <xf numFmtId="192" fontId="19" fillId="0" borderId="9">
      <alignment vertical="center"/>
    </xf>
    <xf numFmtId="0" fontId="40" fillId="0" borderId="19">
      <alignment vertical="center"/>
    </xf>
    <xf numFmtId="192" fontId="20" fillId="0" borderId="10">
      <alignment vertical="center"/>
    </xf>
    <xf numFmtId="0" fontId="20" fillId="0" borderId="20">
      <alignment vertical="center"/>
    </xf>
    <xf numFmtId="192" fontId="21" fillId="7" borderId="5">
      <alignment vertical="center"/>
    </xf>
    <xf numFmtId="0" fontId="41" fillId="7" borderId="16">
      <alignment vertical="center"/>
    </xf>
    <xf numFmtId="4" fontId="36" fillId="0" borderId="0">
      <protection locked="0"/>
    </xf>
    <xf numFmtId="196" fontId="18" fillId="0" borderId="0">
      <protection locked="0"/>
    </xf>
    <xf numFmtId="192" fontId="22" fillId="0" borderId="11">
      <alignment vertical="center"/>
    </xf>
    <xf numFmtId="0" fontId="42" fillId="0" borderId="21">
      <alignment vertical="center"/>
    </xf>
    <xf numFmtId="192" fontId="23" fillId="0" borderId="12">
      <alignment vertical="center"/>
    </xf>
    <xf numFmtId="0" fontId="43" fillId="0" borderId="22">
      <alignment vertical="center"/>
    </xf>
    <xf numFmtId="192" fontId="24" fillId="0" borderId="13">
      <alignment vertical="center"/>
    </xf>
    <xf numFmtId="0" fontId="44" fillId="0" borderId="23">
      <alignment vertical="center"/>
    </xf>
    <xf numFmtId="192" fontId="24" fillId="0" borderId="0">
      <alignment vertical="center"/>
    </xf>
    <xf numFmtId="0" fontId="44" fillId="0" borderId="0">
      <alignment vertical="center"/>
    </xf>
    <xf numFmtId="192" fontId="25" fillId="0" borderId="0">
      <alignment vertical="center"/>
    </xf>
    <xf numFmtId="0" fontId="45" fillId="0" borderId="0">
      <alignment vertical="center"/>
    </xf>
    <xf numFmtId="192" fontId="26" fillId="4" borderId="0">
      <alignment vertical="center"/>
    </xf>
    <xf numFmtId="0" fontId="46" fillId="56" borderId="0">
      <alignment vertical="center"/>
    </xf>
    <xf numFmtId="192" fontId="28" fillId="21" borderId="14">
      <alignment vertical="center"/>
    </xf>
    <xf numFmtId="0" fontId="47" fillId="52" borderId="24">
      <alignment vertical="center"/>
    </xf>
    <xf numFmtId="181" fontId="1" fillId="0" borderId="0"/>
    <xf numFmtId="197" fontId="1" fillId="0" borderId="0"/>
    <xf numFmtId="42" fontId="59" fillId="0" borderId="0">
      <alignment vertical="center"/>
    </xf>
    <xf numFmtId="42" fontId="1" fillId="0" borderId="0">
      <alignment vertical="center"/>
    </xf>
    <xf numFmtId="198" fontId="1" fillId="0" borderId="0">
      <protection locked="0"/>
    </xf>
    <xf numFmtId="192" fontId="1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>
      <alignment vertical="center"/>
    </xf>
    <xf numFmtId="0" fontId="8" fillId="0" borderId="0"/>
    <xf numFmtId="0" fontId="48" fillId="0" borderId="0">
      <alignment vertical="top"/>
      <protection locked="0"/>
    </xf>
    <xf numFmtId="0" fontId="49" fillId="0" borderId="0">
      <alignment vertical="top"/>
      <protection locked="0"/>
    </xf>
    <xf numFmtId="194" fontId="36" fillId="0" borderId="25">
      <protection locked="0"/>
    </xf>
    <xf numFmtId="199" fontId="1" fillId="0" borderId="0">
      <protection locked="0"/>
    </xf>
    <xf numFmtId="200" fontId="18" fillId="0" borderId="0">
      <protection locked="0"/>
    </xf>
    <xf numFmtId="38" fontId="4" fillId="21" borderId="0"/>
    <xf numFmtId="10" fontId="4" fillId="23" borderId="3"/>
    <xf numFmtId="0" fontId="50" fillId="0" borderId="0"/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192" fontId="16" fillId="25" borderId="8">
      <alignment vertical="center"/>
    </xf>
    <xf numFmtId="0" fontId="30" fillId="0" borderId="0"/>
    <xf numFmtId="194" fontId="36" fillId="0" borderId="25">
      <protection locked="0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92" fontId="16" fillId="25" borderId="8">
      <alignment vertical="center"/>
    </xf>
    <xf numFmtId="194" fontId="36" fillId="0" borderId="25">
      <protection locked="0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192" fontId="16" fillId="25" borderId="8">
      <alignment vertical="center"/>
    </xf>
    <xf numFmtId="194" fontId="36" fillId="0" borderId="25">
      <protection locked="0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8" fillId="0" borderId="0"/>
    <xf numFmtId="0" fontId="8" fillId="0" borderId="0"/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2" fillId="12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20" borderId="0">
      <alignment vertical="center"/>
    </xf>
    <xf numFmtId="0" fontId="9" fillId="0" borderId="0">
      <alignment vertical="center"/>
    </xf>
    <xf numFmtId="0" fontId="11" fillId="3" borderId="0">
      <alignment vertical="center"/>
    </xf>
    <xf numFmtId="0" fontId="14" fillId="24" borderId="0">
      <alignment vertical="center"/>
    </xf>
    <xf numFmtId="0" fontId="15" fillId="0" borderId="0">
      <alignment vertical="center"/>
    </xf>
    <xf numFmtId="0" fontId="16" fillId="25" borderId="8">
      <alignment vertical="center"/>
    </xf>
    <xf numFmtId="0" fontId="19" fillId="0" borderId="9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4" borderId="0">
      <alignment vertical="center"/>
    </xf>
    <xf numFmtId="0" fontId="59" fillId="0" borderId="0">
      <alignment vertical="center"/>
    </xf>
    <xf numFmtId="0" fontId="51" fillId="0" borderId="0">
      <alignment vertical="center"/>
    </xf>
    <xf numFmtId="0" fontId="18" fillId="0" borderId="0"/>
    <xf numFmtId="0" fontId="46" fillId="56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41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8" fillId="0" borderId="0"/>
    <xf numFmtId="0" fontId="64" fillId="0" borderId="0"/>
  </cellStyleXfs>
  <cellXfs count="96">
    <xf numFmtId="0" fontId="0" fillId="0" borderId="0" xfId="0" applyNumberFormat="1">
      <alignment vertical="center"/>
    </xf>
    <xf numFmtId="0" fontId="52" fillId="0" borderId="0" xfId="1" applyNumberFormat="1" applyFont="1" applyAlignment="1">
      <alignment vertical="center" wrapText="1"/>
    </xf>
    <xf numFmtId="176" fontId="52" fillId="0" borderId="0" xfId="1" applyNumberFormat="1" applyFont="1" applyAlignment="1">
      <alignment horizontal="left" vertical="center" wrapText="1"/>
    </xf>
    <xf numFmtId="176" fontId="52" fillId="0" borderId="0" xfId="1" applyNumberFormat="1" applyFont="1" applyAlignment="1">
      <alignment horizontal="center" vertical="center" wrapText="1"/>
    </xf>
    <xf numFmtId="0" fontId="52" fillId="0" borderId="0" xfId="1" applyNumberFormat="1" applyFont="1" applyAlignment="1">
      <alignment horizontal="center" vertical="center" wrapText="1"/>
    </xf>
    <xf numFmtId="0" fontId="0" fillId="0" borderId="0" xfId="0" applyNumberFormat="1" applyFont="1">
      <alignment vertical="center"/>
    </xf>
    <xf numFmtId="0" fontId="52" fillId="0" borderId="0" xfId="1" applyNumberFormat="1" applyFont="1" applyAlignment="1">
      <alignment vertical="center" wrapText="1"/>
    </xf>
    <xf numFmtId="0" fontId="52" fillId="0" borderId="3" xfId="531" applyNumberFormat="1" applyFont="1" applyBorder="1" applyAlignment="1">
      <alignment vertical="center" wrapText="1"/>
    </xf>
    <xf numFmtId="0" fontId="52" fillId="0" borderId="3" xfId="531" quotePrefix="1" applyNumberFormat="1" applyFont="1" applyBorder="1" applyAlignment="1">
      <alignment vertical="center" wrapText="1"/>
    </xf>
    <xf numFmtId="0" fontId="52" fillId="0" borderId="3" xfId="531" applyNumberFormat="1" applyFont="1" applyBorder="1" applyAlignment="1">
      <alignment horizontal="center" vertical="center" wrapText="1"/>
    </xf>
    <xf numFmtId="0" fontId="52" fillId="0" borderId="3" xfId="531" applyNumberFormat="1" applyFont="1" applyBorder="1" applyAlignment="1">
      <alignment vertical="center" wrapText="1"/>
    </xf>
    <xf numFmtId="0" fontId="53" fillId="57" borderId="3" xfId="531" applyNumberFormat="1" applyFont="1" applyFill="1" applyBorder="1" applyAlignment="1">
      <alignment horizontal="center" vertical="center" wrapText="1"/>
    </xf>
    <xf numFmtId="0" fontId="54" fillId="0" borderId="0" xfId="531" applyNumberFormat="1" applyFont="1" applyAlignment="1">
      <alignment horizontal="center" vertical="center" wrapText="1"/>
    </xf>
    <xf numFmtId="0" fontId="53" fillId="57" borderId="26" xfId="531" applyNumberFormat="1" applyFont="1" applyFill="1" applyBorder="1" applyAlignment="1">
      <alignment horizontal="center" vertical="center" wrapText="1"/>
    </xf>
    <xf numFmtId="0" fontId="53" fillId="0" borderId="0" xfId="757" applyNumberFormat="1" applyFont="1" applyFill="1">
      <alignment vertical="center"/>
    </xf>
    <xf numFmtId="0" fontId="53" fillId="4" borderId="3" xfId="852" applyNumberFormat="1" applyFont="1" applyFill="1" applyBorder="1" applyAlignment="1">
      <alignment horizontal="center" vertical="center" wrapText="1"/>
    </xf>
    <xf numFmtId="176" fontId="52" fillId="0" borderId="3" xfId="1" applyNumberFormat="1" applyFont="1" applyBorder="1" applyAlignment="1">
      <alignment horizontal="left" vertical="center" wrapText="1"/>
    </xf>
    <xf numFmtId="41" fontId="52" fillId="0" borderId="3" xfId="865" applyNumberFormat="1" applyFont="1" applyBorder="1" applyAlignment="1">
      <alignment horizontal="left" vertical="center" wrapText="1"/>
    </xf>
    <xf numFmtId="0" fontId="52" fillId="0" borderId="3" xfId="531" applyNumberFormat="1" applyFont="1" applyBorder="1" applyAlignment="1">
      <alignment vertical="center" wrapText="1"/>
    </xf>
    <xf numFmtId="0" fontId="52" fillId="0" borderId="3" xfId="531" quotePrefix="1" applyNumberFormat="1" applyFont="1" applyBorder="1" applyAlignment="1">
      <alignment vertical="center" wrapText="1"/>
    </xf>
    <xf numFmtId="0" fontId="53" fillId="21" borderId="3" xfId="866" applyNumberFormat="1" applyFont="1" applyFill="1" applyBorder="1" applyAlignment="1">
      <alignment horizontal="center" vertical="center" wrapText="1"/>
    </xf>
    <xf numFmtId="176" fontId="52" fillId="0" borderId="3" xfId="1" applyNumberFormat="1" applyFont="1" applyBorder="1" applyAlignment="1">
      <alignment horizontal="center" vertical="center" wrapText="1"/>
    </xf>
    <xf numFmtId="14" fontId="52" fillId="0" borderId="3" xfId="1" applyNumberFormat="1" applyFont="1" applyBorder="1" applyAlignment="1">
      <alignment horizontal="center" vertical="center" wrapText="1"/>
    </xf>
    <xf numFmtId="0" fontId="61" fillId="0" borderId="0" xfId="757" applyNumberFormat="1" applyFont="1" applyFill="1">
      <alignment vertical="center"/>
    </xf>
    <xf numFmtId="0" fontId="61" fillId="4" borderId="3" xfId="852" applyNumberFormat="1" applyFont="1" applyFill="1" applyBorder="1" applyAlignment="1">
      <alignment horizontal="center" vertical="center" wrapText="1"/>
    </xf>
    <xf numFmtId="0" fontId="62" fillId="0" borderId="0" xfId="1" applyNumberFormat="1" applyFont="1" applyAlignment="1">
      <alignment vertical="center" wrapText="1"/>
    </xf>
    <xf numFmtId="176" fontId="62" fillId="0" borderId="0" xfId="1" applyNumberFormat="1" applyFont="1" applyAlignment="1">
      <alignment horizontal="left" vertical="center" wrapText="1"/>
    </xf>
    <xf numFmtId="176" fontId="62" fillId="0" borderId="0" xfId="1" applyNumberFormat="1" applyFont="1" applyAlignment="1">
      <alignment horizontal="center" vertical="center" wrapText="1"/>
    </xf>
    <xf numFmtId="0" fontId="62" fillId="0" borderId="0" xfId="1" applyNumberFormat="1" applyFont="1" applyFill="1" applyAlignment="1">
      <alignment vertical="center" wrapText="1"/>
    </xf>
    <xf numFmtId="176" fontId="63" fillId="0" borderId="3" xfId="1" applyNumberFormat="1" applyFont="1" applyFill="1" applyBorder="1" applyAlignment="1">
      <alignment horizontal="left" vertical="center" wrapText="1"/>
    </xf>
    <xf numFmtId="176" fontId="63" fillId="0" borderId="3" xfId="1" applyNumberFormat="1" applyFont="1" applyFill="1" applyBorder="1" applyAlignment="1">
      <alignment horizontal="center" vertical="center" wrapText="1"/>
    </xf>
    <xf numFmtId="14" fontId="63" fillId="0" borderId="3" xfId="1" applyNumberFormat="1" applyFont="1" applyFill="1" applyBorder="1" applyAlignment="1">
      <alignment horizontal="center" vertical="center" wrapText="1"/>
    </xf>
    <xf numFmtId="176" fontId="62" fillId="0" borderId="3" xfId="1" applyNumberFormat="1" applyFont="1" applyFill="1" applyBorder="1" applyAlignment="1">
      <alignment horizontal="left" vertical="center" wrapText="1"/>
    </xf>
    <xf numFmtId="176" fontId="62" fillId="0" borderId="3" xfId="1" quotePrefix="1" applyNumberFormat="1" applyFont="1" applyFill="1" applyBorder="1" applyAlignment="1">
      <alignment horizontal="left" vertical="center" wrapText="1"/>
    </xf>
    <xf numFmtId="176" fontId="62" fillId="0" borderId="3" xfId="1" applyNumberFormat="1" applyFont="1" applyFill="1" applyBorder="1" applyAlignment="1">
      <alignment horizontal="center" vertical="center" wrapText="1"/>
    </xf>
    <xf numFmtId="0" fontId="62" fillId="0" borderId="3" xfId="1" applyFont="1" applyFill="1" applyBorder="1" applyAlignment="1">
      <alignment horizontal="left" vertical="center" wrapText="1"/>
    </xf>
    <xf numFmtId="0" fontId="62" fillId="0" borderId="3" xfId="1" quotePrefix="1" applyNumberFormat="1" applyFont="1" applyFill="1" applyBorder="1" applyAlignment="1">
      <alignment horizontal="left" vertical="center" wrapText="1"/>
    </xf>
    <xf numFmtId="0" fontId="61" fillId="21" borderId="3" xfId="866" applyNumberFormat="1" applyFont="1" applyFill="1" applyBorder="1" applyAlignment="1">
      <alignment horizontal="center" vertical="center" wrapText="1"/>
    </xf>
    <xf numFmtId="176" fontId="62" fillId="58" borderId="3" xfId="1" applyNumberFormat="1" applyFont="1" applyFill="1" applyBorder="1" applyAlignment="1">
      <alignment horizontal="left" vertical="center" wrapText="1"/>
    </xf>
    <xf numFmtId="176" fontId="63" fillId="58" borderId="3" xfId="1" applyNumberFormat="1" applyFont="1" applyFill="1" applyBorder="1" applyAlignment="1">
      <alignment horizontal="center" vertical="center" wrapText="1"/>
    </xf>
    <xf numFmtId="0" fontId="62" fillId="58" borderId="3" xfId="1" applyNumberFormat="1" applyFont="1" applyFill="1" applyBorder="1" applyAlignment="1">
      <alignment horizontal="left" vertical="center" wrapText="1"/>
    </xf>
    <xf numFmtId="176" fontId="63" fillId="58" borderId="3" xfId="1" applyNumberFormat="1" applyFont="1" applyFill="1" applyBorder="1" applyAlignment="1">
      <alignment horizontal="left" vertical="center" wrapText="1"/>
    </xf>
    <xf numFmtId="176" fontId="62" fillId="58" borderId="3" xfId="1" applyNumberFormat="1" applyFont="1" applyFill="1" applyBorder="1" applyAlignment="1">
      <alignment horizontal="center" vertical="center" wrapText="1"/>
    </xf>
    <xf numFmtId="176" fontId="62" fillId="58" borderId="3" xfId="1" quotePrefix="1" applyNumberFormat="1" applyFont="1" applyFill="1" applyBorder="1" applyAlignment="1">
      <alignment horizontal="left" vertical="center" wrapText="1"/>
    </xf>
    <xf numFmtId="14" fontId="63" fillId="58" borderId="3" xfId="1" applyNumberFormat="1" applyFont="1" applyFill="1" applyBorder="1" applyAlignment="1">
      <alignment horizontal="center" vertical="center" wrapText="1"/>
    </xf>
    <xf numFmtId="0" fontId="62" fillId="58" borderId="0" xfId="1" applyNumberFormat="1" applyFont="1" applyFill="1" applyAlignment="1">
      <alignment vertical="center" wrapText="1"/>
    </xf>
    <xf numFmtId="0" fontId="62" fillId="58" borderId="3" xfId="1" applyFont="1" applyFill="1" applyBorder="1" applyAlignment="1">
      <alignment horizontal="left" vertical="center" wrapText="1"/>
    </xf>
    <xf numFmtId="0" fontId="62" fillId="58" borderId="3" xfId="1" quotePrefix="1" applyNumberFormat="1" applyFont="1" applyFill="1" applyBorder="1" applyAlignment="1">
      <alignment horizontal="left" vertical="center" wrapText="1"/>
    </xf>
    <xf numFmtId="0" fontId="63" fillId="0" borderId="3" xfId="1" applyNumberFormat="1" applyFont="1" applyFill="1" applyBorder="1" applyAlignment="1">
      <alignment horizontal="center" vertical="center" wrapText="1"/>
    </xf>
    <xf numFmtId="0" fontId="63" fillId="58" borderId="3" xfId="1" applyNumberFormat="1" applyFont="1" applyFill="1" applyBorder="1" applyAlignment="1">
      <alignment horizontal="center" vertical="center" wrapText="1"/>
    </xf>
    <xf numFmtId="0" fontId="64" fillId="0" borderId="0" xfId="871"/>
    <xf numFmtId="0" fontId="64" fillId="0" borderId="3" xfId="871" applyBorder="1"/>
    <xf numFmtId="0" fontId="68" fillId="58" borderId="3" xfId="871" applyFont="1" applyFill="1" applyBorder="1" applyAlignment="1">
      <alignment horizontal="center"/>
    </xf>
    <xf numFmtId="176" fontId="62" fillId="0" borderId="3" xfId="1" applyNumberFormat="1" applyFont="1" applyBorder="1" applyAlignment="1">
      <alignment horizontal="left" vertical="center" wrapText="1"/>
    </xf>
    <xf numFmtId="176" fontId="63" fillId="0" borderId="3" xfId="1" applyNumberFormat="1" applyFont="1" applyBorder="1" applyAlignment="1">
      <alignment horizontal="center" vertical="center" wrapText="1"/>
    </xf>
    <xf numFmtId="0" fontId="62" fillId="0" borderId="3" xfId="1" applyFont="1" applyBorder="1" applyAlignment="1">
      <alignment horizontal="left" vertical="center" wrapText="1"/>
    </xf>
    <xf numFmtId="176" fontId="63" fillId="0" borderId="3" xfId="1" applyNumberFormat="1" applyFont="1" applyBorder="1" applyAlignment="1">
      <alignment horizontal="left" vertical="center" wrapText="1"/>
    </xf>
    <xf numFmtId="176" fontId="62" fillId="0" borderId="3" xfId="1" applyNumberFormat="1" applyFont="1" applyBorder="1" applyAlignment="1">
      <alignment horizontal="center" vertical="center" wrapText="1"/>
    </xf>
    <xf numFmtId="176" fontId="62" fillId="0" borderId="3" xfId="1" quotePrefix="1" applyNumberFormat="1" applyFont="1" applyBorder="1" applyAlignment="1">
      <alignment horizontal="left" vertical="center" wrapText="1"/>
    </xf>
    <xf numFmtId="14" fontId="63" fillId="0" borderId="3" xfId="1" applyNumberFormat="1" applyFont="1" applyBorder="1" applyAlignment="1">
      <alignment horizontal="center" vertical="center" wrapText="1"/>
    </xf>
    <xf numFmtId="0" fontId="62" fillId="0" borderId="0" xfId="1" applyFont="1" applyAlignment="1">
      <alignment vertical="center" wrapText="1"/>
    </xf>
    <xf numFmtId="0" fontId="62" fillId="0" borderId="3" xfId="1" quotePrefix="1" applyFont="1" applyBorder="1" applyAlignment="1">
      <alignment horizontal="left" vertical="center" wrapText="1"/>
    </xf>
    <xf numFmtId="0" fontId="62" fillId="0" borderId="3" xfId="1" applyNumberFormat="1" applyFont="1" applyFill="1" applyBorder="1" applyAlignment="1">
      <alignment vertical="center" wrapText="1"/>
    </xf>
    <xf numFmtId="0" fontId="62" fillId="58" borderId="3" xfId="1" applyNumberFormat="1" applyFont="1" applyFill="1" applyBorder="1" applyAlignment="1">
      <alignment vertical="center" wrapText="1"/>
    </xf>
    <xf numFmtId="0" fontId="62" fillId="0" borderId="3" xfId="1" applyFont="1" applyBorder="1" applyAlignment="1">
      <alignment vertical="center" wrapText="1"/>
    </xf>
    <xf numFmtId="0" fontId="62" fillId="60" borderId="3" xfId="1" applyFont="1" applyFill="1" applyBorder="1" applyAlignment="1">
      <alignment vertical="center" wrapText="1"/>
    </xf>
    <xf numFmtId="0" fontId="62" fillId="18" borderId="3" xfId="1" applyNumberFormat="1" applyFont="1" applyFill="1" applyBorder="1" applyAlignment="1">
      <alignment vertical="center" wrapText="1"/>
    </xf>
    <xf numFmtId="0" fontId="62" fillId="0" borderId="3" xfId="1" applyFont="1" applyFill="1" applyBorder="1" applyAlignment="1">
      <alignment vertical="center" wrapText="1"/>
    </xf>
    <xf numFmtId="0" fontId="69" fillId="0" borderId="3" xfId="1" applyFont="1" applyFill="1" applyBorder="1" applyAlignment="1">
      <alignment vertical="center" wrapText="1"/>
    </xf>
    <xf numFmtId="0" fontId="62" fillId="0" borderId="3" xfId="1" applyFont="1" applyBorder="1" applyAlignment="1">
      <alignment horizontal="center" vertical="center" wrapText="1"/>
    </xf>
    <xf numFmtId="0" fontId="62" fillId="58" borderId="3" xfId="1" applyFont="1" applyFill="1" applyBorder="1" applyAlignment="1">
      <alignment vertical="center" wrapText="1"/>
    </xf>
    <xf numFmtId="0" fontId="62" fillId="18" borderId="3" xfId="1" applyFont="1" applyFill="1" applyBorder="1" applyAlignment="1">
      <alignment vertical="center" wrapText="1"/>
    </xf>
    <xf numFmtId="0" fontId="61" fillId="21" borderId="28" xfId="866" applyNumberFormat="1" applyFont="1" applyFill="1" applyBorder="1" applyAlignment="1">
      <alignment horizontal="center" vertical="center" wrapText="1"/>
    </xf>
    <xf numFmtId="0" fontId="61" fillId="21" borderId="29" xfId="866" applyNumberFormat="1" applyFont="1" applyFill="1" applyBorder="1" applyAlignment="1">
      <alignment horizontal="center" vertical="center" wrapText="1"/>
    </xf>
    <xf numFmtId="0" fontId="61" fillId="21" borderId="3" xfId="866" applyNumberFormat="1" applyFont="1" applyFill="1" applyBorder="1" applyAlignment="1">
      <alignment horizontal="center" vertical="center" wrapText="1"/>
    </xf>
    <xf numFmtId="0" fontId="61" fillId="59" borderId="28" xfId="866" applyNumberFormat="1" applyFont="1" applyFill="1" applyBorder="1" applyAlignment="1">
      <alignment horizontal="center" vertical="center" wrapText="1"/>
    </xf>
    <xf numFmtId="0" fontId="61" fillId="59" borderId="29" xfId="866" applyNumberFormat="1" applyFont="1" applyFill="1" applyBorder="1" applyAlignment="1">
      <alignment horizontal="center" vertical="center" wrapText="1"/>
    </xf>
    <xf numFmtId="0" fontId="61" fillId="4" borderId="26" xfId="852" applyNumberFormat="1" applyFont="1" applyFill="1" applyBorder="1" applyAlignment="1">
      <alignment horizontal="center" vertical="center" wrapText="1"/>
    </xf>
    <xf numFmtId="0" fontId="61" fillId="4" borderId="27" xfId="852" applyNumberFormat="1" applyFont="1" applyFill="1" applyBorder="1" applyAlignment="1">
      <alignment horizontal="center" vertical="center" wrapText="1"/>
    </xf>
    <xf numFmtId="0" fontId="54" fillId="0" borderId="0" xfId="531" applyNumberFormat="1" applyFont="1" applyAlignment="1">
      <alignment horizontal="center" vertical="center" wrapText="1"/>
    </xf>
    <xf numFmtId="0" fontId="53" fillId="21" borderId="28" xfId="866" applyNumberFormat="1" applyFont="1" applyFill="1" applyBorder="1" applyAlignment="1">
      <alignment horizontal="center" vertical="center" wrapText="1"/>
    </xf>
    <xf numFmtId="0" fontId="53" fillId="21" borderId="29" xfId="866" applyNumberFormat="1" applyFont="1" applyFill="1" applyBorder="1" applyAlignment="1">
      <alignment horizontal="center" vertical="center" wrapText="1"/>
    </xf>
    <xf numFmtId="0" fontId="53" fillId="4" borderId="26" xfId="852" applyNumberFormat="1" applyFont="1" applyFill="1" applyBorder="1" applyAlignment="1">
      <alignment horizontal="center" vertical="center" wrapText="1"/>
    </xf>
    <xf numFmtId="0" fontId="53" fillId="4" borderId="27" xfId="852" applyNumberFormat="1" applyFont="1" applyFill="1" applyBorder="1" applyAlignment="1">
      <alignment horizontal="center" vertical="center" wrapText="1"/>
    </xf>
    <xf numFmtId="0" fontId="53" fillId="21" borderId="3" xfId="866" applyNumberFormat="1" applyFont="1" applyFill="1" applyBorder="1" applyAlignment="1">
      <alignment horizontal="center" vertical="center" wrapText="1"/>
    </xf>
    <xf numFmtId="0" fontId="62" fillId="61" borderId="3" xfId="1" applyNumberFormat="1" applyFont="1" applyFill="1" applyBorder="1" applyAlignment="1">
      <alignment vertical="center" wrapText="1"/>
    </xf>
    <xf numFmtId="176" fontId="62" fillId="61" borderId="3" xfId="1" applyNumberFormat="1" applyFont="1" applyFill="1" applyBorder="1" applyAlignment="1">
      <alignment horizontal="left" vertical="center" wrapText="1"/>
    </xf>
    <xf numFmtId="0" fontId="63" fillId="61" borderId="3" xfId="1" applyNumberFormat="1" applyFont="1" applyFill="1" applyBorder="1" applyAlignment="1">
      <alignment horizontal="center" vertical="center" wrapText="1"/>
    </xf>
    <xf numFmtId="0" fontId="62" fillId="61" borderId="3" xfId="1" applyFont="1" applyFill="1" applyBorder="1" applyAlignment="1">
      <alignment horizontal="left" vertical="center" wrapText="1"/>
    </xf>
    <xf numFmtId="176" fontId="62" fillId="61" borderId="3" xfId="1" quotePrefix="1" applyNumberFormat="1" applyFont="1" applyFill="1" applyBorder="1" applyAlignment="1">
      <alignment horizontal="left" vertical="center" wrapText="1"/>
    </xf>
    <xf numFmtId="176" fontId="63" fillId="61" borderId="3" xfId="1" applyNumberFormat="1" applyFont="1" applyFill="1" applyBorder="1" applyAlignment="1">
      <alignment horizontal="left" vertical="center" wrapText="1"/>
    </xf>
    <xf numFmtId="176" fontId="63" fillId="61" borderId="3" xfId="1" applyNumberFormat="1" applyFont="1" applyFill="1" applyBorder="1" applyAlignment="1">
      <alignment horizontal="center" vertical="center" wrapText="1"/>
    </xf>
    <xf numFmtId="176" fontId="62" fillId="61" borderId="3" xfId="1" applyNumberFormat="1" applyFont="1" applyFill="1" applyBorder="1" applyAlignment="1">
      <alignment horizontal="center" vertical="center" wrapText="1"/>
    </xf>
    <xf numFmtId="14" fontId="63" fillId="61" borderId="3" xfId="1" applyNumberFormat="1" applyFont="1" applyFill="1" applyBorder="1" applyAlignment="1">
      <alignment horizontal="center" vertical="center" wrapText="1"/>
    </xf>
    <xf numFmtId="0" fontId="62" fillId="61" borderId="3" xfId="1" applyNumberFormat="1" applyFont="1" applyFill="1" applyBorder="1" applyAlignment="1">
      <alignment horizontal="left" vertical="center" wrapText="1"/>
    </xf>
    <xf numFmtId="0" fontId="62" fillId="0" borderId="3" xfId="1" applyNumberFormat="1" applyFont="1" applyFill="1" applyBorder="1" applyAlignment="1">
      <alignment horizontal="left" vertical="center" wrapText="1"/>
    </xf>
  </cellXfs>
  <cellStyles count="872">
    <cellStyle name=" 386grabber=M" xfId="649"/>
    <cellStyle name="%" xfId="650"/>
    <cellStyle name="??_x000c_둄_x001b_ |?_x0001_?_x0003__x0014__x0007__x0001__x0001_" xfId="651"/>
    <cellStyle name="_(템플릿)결함관리대장 v0.1" xfId="652"/>
    <cellStyle name="_(템플릿)통합테스트시나리오 v0.1" xfId="653"/>
    <cellStyle name="_(템플릿)통합테스트시나리오 v0.2" xfId="654"/>
    <cellStyle name="_060811-화이트정보(인포데이타)-x346외" xfId="603"/>
    <cellStyle name="_20060829_화이트정보통신(대웅제약)" xfId="604"/>
    <cellStyle name="_20071213_화이트정보통신_포스데이타_p52A" xfId="605"/>
    <cellStyle name="_dimensions(1)" xfId="606"/>
    <cellStyle name="_IBM서버(p570,p550,x366)" xfId="607"/>
    <cellStyle name="_White-HMS 프로그램 목록(2007.04.05)" xfId="608"/>
    <cellStyle name="_국민연금관리공단 e-HR시스템 구축 견적서_동양시스템즈(2007.05.20_)" xfId="609"/>
    <cellStyle name="_대구은행 e-HR시스템 구축 견적서(2006.11.22)" xfId="610"/>
    <cellStyle name="_로템e-HR시스템 견적서 (2007.12.14)V3" xfId="611"/>
    <cellStyle name="_롯데백화점_인프라 내역(2006.01.20)" xfId="612"/>
    <cellStyle name="_멀티미디어리소스목록" xfId="655"/>
    <cellStyle name="_신인사정보 견적서-화이트(2007.11.26)" xfId="613"/>
    <cellStyle name="_에스엘 e-HR 구축 견적서(2007.02.07)_인프라" xfId="614"/>
    <cellStyle name="_엑셀문서표준_양식(세로)" xfId="615"/>
    <cellStyle name="_요구사항추적매트릭스(CS)_보기" xfId="616"/>
    <cellStyle name="_요구사항추적표(웹)_양식" xfId="617"/>
    <cellStyle name="_인사_LDCC_화이트(DB포함)_060119" xfId="618"/>
    <cellStyle name="_인천공항공사 e-HR시스템 구축 견적서(2007.08.22)" xfId="619"/>
    <cellStyle name="_통합테스트빌드목록" xfId="620"/>
    <cellStyle name="_트라이얼_KTG_HW_040302" xfId="621"/>
    <cellStyle name="_포스데이타 급여시스템 구축 견적서(20071214)" xfId="622"/>
    <cellStyle name="_프로그램사양서(배치)_BNBBA01_UD01(미심상마감년월UPDATE)_양식" xfId="623"/>
    <cellStyle name="_프로그램사양서(업무전문)_양식" xfId="624"/>
    <cellStyle name="_한국자산관리공사e-HR시스템 견적서 (2007.09.13)" xfId="625"/>
    <cellStyle name="_현대파워텍e-HR시스템 견적서 (2008.01.21)" xfId="626"/>
    <cellStyle name="_화이트HMS_최종견적_20061214" xfId="627"/>
    <cellStyle name="_회의록관리대장_#.업무영역명" xfId="628"/>
    <cellStyle name="20% - 강조색1 10" xfId="4"/>
    <cellStyle name="20% - 강조색1 11" xfId="5"/>
    <cellStyle name="20% - 강조색1 12" xfId="6"/>
    <cellStyle name="20% - 강조색1 2" xfId="7"/>
    <cellStyle name="20% - 강조색1 2 10" xfId="8"/>
    <cellStyle name="20% - 강조색1 2 11" xfId="9"/>
    <cellStyle name="20% - 강조색1 2 12" xfId="10"/>
    <cellStyle name="20% - 강조색1 2 13" xfId="656"/>
    <cellStyle name="20% - 강조색1 2 2" xfId="11"/>
    <cellStyle name="20% - 강조색1 2 3" xfId="12"/>
    <cellStyle name="20% - 강조색1 2 4" xfId="13"/>
    <cellStyle name="20% - 강조색1 2 5" xfId="14"/>
    <cellStyle name="20% - 강조색1 2 6" xfId="15"/>
    <cellStyle name="20% - 강조색1 2 7" xfId="16"/>
    <cellStyle name="20% - 강조색1 2 8" xfId="17"/>
    <cellStyle name="20% - 강조색1 2 9" xfId="18"/>
    <cellStyle name="20% - 강조색1 3" xfId="19"/>
    <cellStyle name="20% - 강조색1 3 2" xfId="657"/>
    <cellStyle name="20% - 강조색1 4" xfId="20"/>
    <cellStyle name="20% - 강조색1 5" xfId="21"/>
    <cellStyle name="20% - 강조색1 6" xfId="22"/>
    <cellStyle name="20% - 강조색1 7" xfId="23"/>
    <cellStyle name="20% - 강조색1 8" xfId="24"/>
    <cellStyle name="20% - 강조색1 9" xfId="25"/>
    <cellStyle name="20% - 강조색2 10" xfId="26"/>
    <cellStyle name="20% - 강조색2 11" xfId="27"/>
    <cellStyle name="20% - 강조색2 12" xfId="28"/>
    <cellStyle name="20% - 강조색2 2" xfId="29"/>
    <cellStyle name="20% - 강조색2 2 10" xfId="30"/>
    <cellStyle name="20% - 강조색2 2 11" xfId="31"/>
    <cellStyle name="20% - 강조색2 2 12" xfId="32"/>
    <cellStyle name="20% - 강조색2 2 13" xfId="658"/>
    <cellStyle name="20% - 강조색2 2 2" xfId="33"/>
    <cellStyle name="20% - 강조색2 2 3" xfId="34"/>
    <cellStyle name="20% - 강조색2 2 4" xfId="35"/>
    <cellStyle name="20% - 강조색2 2 5" xfId="36"/>
    <cellStyle name="20% - 강조색2 2 6" xfId="37"/>
    <cellStyle name="20% - 강조색2 2 7" xfId="38"/>
    <cellStyle name="20% - 강조색2 2 8" xfId="39"/>
    <cellStyle name="20% - 강조색2 2 9" xfId="40"/>
    <cellStyle name="20% - 강조색2 3" xfId="41"/>
    <cellStyle name="20% - 강조색2 3 2" xfId="659"/>
    <cellStyle name="20% - 강조색2 4" xfId="42"/>
    <cellStyle name="20% - 강조색2 5" xfId="43"/>
    <cellStyle name="20% - 강조색2 6" xfId="44"/>
    <cellStyle name="20% - 강조색2 7" xfId="45"/>
    <cellStyle name="20% - 강조색2 8" xfId="46"/>
    <cellStyle name="20% - 강조색2 9" xfId="47"/>
    <cellStyle name="20% - 강조색3 10" xfId="48"/>
    <cellStyle name="20% - 강조색3 11" xfId="49"/>
    <cellStyle name="20% - 강조색3 12" xfId="50"/>
    <cellStyle name="20% - 강조색3 2" xfId="51"/>
    <cellStyle name="20% - 강조색3 2 10" xfId="52"/>
    <cellStyle name="20% - 강조색3 2 11" xfId="53"/>
    <cellStyle name="20% - 강조색3 2 12" xfId="54"/>
    <cellStyle name="20% - 강조색3 2 13" xfId="660"/>
    <cellStyle name="20% - 강조색3 2 2" xfId="55"/>
    <cellStyle name="20% - 강조색3 2 3" xfId="56"/>
    <cellStyle name="20% - 강조색3 2 4" xfId="57"/>
    <cellStyle name="20% - 강조색3 2 5" xfId="58"/>
    <cellStyle name="20% - 강조색3 2 6" xfId="59"/>
    <cellStyle name="20% - 강조색3 2 7" xfId="60"/>
    <cellStyle name="20% - 강조색3 2 8" xfId="61"/>
    <cellStyle name="20% - 강조색3 2 9" xfId="62"/>
    <cellStyle name="20% - 강조색3 3" xfId="63"/>
    <cellStyle name="20% - 강조색3 3 2" xfId="661"/>
    <cellStyle name="20% - 강조색3 4" xfId="64"/>
    <cellStyle name="20% - 강조색3 5" xfId="65"/>
    <cellStyle name="20% - 강조색3 6" xfId="66"/>
    <cellStyle name="20% - 강조색3 7" xfId="67"/>
    <cellStyle name="20% - 강조색3 8" xfId="68"/>
    <cellStyle name="20% - 강조색3 9" xfId="69"/>
    <cellStyle name="20% - 강조색4 10" xfId="70"/>
    <cellStyle name="20% - 강조색4 11" xfId="71"/>
    <cellStyle name="20% - 강조색4 12" xfId="72"/>
    <cellStyle name="20% - 강조색4 2" xfId="73"/>
    <cellStyle name="20% - 강조색4 2 10" xfId="74"/>
    <cellStyle name="20% - 강조색4 2 11" xfId="75"/>
    <cellStyle name="20% - 강조색4 2 12" xfId="76"/>
    <cellStyle name="20% - 강조색4 2 13" xfId="662"/>
    <cellStyle name="20% - 강조색4 2 2" xfId="77"/>
    <cellStyle name="20% - 강조색4 2 3" xfId="78"/>
    <cellStyle name="20% - 강조색4 2 4" xfId="79"/>
    <cellStyle name="20% - 강조색4 2 5" xfId="80"/>
    <cellStyle name="20% - 강조색4 2 6" xfId="81"/>
    <cellStyle name="20% - 강조색4 2 7" xfId="82"/>
    <cellStyle name="20% - 강조색4 2 8" xfId="83"/>
    <cellStyle name="20% - 강조색4 2 9" xfId="84"/>
    <cellStyle name="20% - 강조색4 3" xfId="85"/>
    <cellStyle name="20% - 강조색4 3 2" xfId="663"/>
    <cellStyle name="20% - 강조색4 4" xfId="86"/>
    <cellStyle name="20% - 강조색4 5" xfId="87"/>
    <cellStyle name="20% - 강조색4 6" xfId="88"/>
    <cellStyle name="20% - 강조색4 7" xfId="89"/>
    <cellStyle name="20% - 강조색4 8" xfId="90"/>
    <cellStyle name="20% - 강조색4 9" xfId="91"/>
    <cellStyle name="20% - 강조색5 10" xfId="92"/>
    <cellStyle name="20% - 강조색5 11" xfId="93"/>
    <cellStyle name="20% - 강조색5 12" xfId="94"/>
    <cellStyle name="20% - 강조색5 2" xfId="95"/>
    <cellStyle name="20% - 강조색5 2 10" xfId="96"/>
    <cellStyle name="20% - 강조색5 2 11" xfId="97"/>
    <cellStyle name="20% - 강조색5 2 12" xfId="98"/>
    <cellStyle name="20% - 강조색5 2 13" xfId="664"/>
    <cellStyle name="20% - 강조색5 2 2" xfId="99"/>
    <cellStyle name="20% - 강조색5 2 3" xfId="100"/>
    <cellStyle name="20% - 강조색5 2 4" xfId="101"/>
    <cellStyle name="20% - 강조색5 2 5" xfId="102"/>
    <cellStyle name="20% - 강조색5 2 6" xfId="103"/>
    <cellStyle name="20% - 강조색5 2 7" xfId="104"/>
    <cellStyle name="20% - 강조색5 2 8" xfId="105"/>
    <cellStyle name="20% - 강조색5 2 9" xfId="106"/>
    <cellStyle name="20% - 강조색5 3" xfId="107"/>
    <cellStyle name="20% - 강조색5 3 2" xfId="665"/>
    <cellStyle name="20% - 강조색5 4" xfId="108"/>
    <cellStyle name="20% - 강조색5 5" xfId="109"/>
    <cellStyle name="20% - 강조색5 6" xfId="110"/>
    <cellStyle name="20% - 강조색5 7" xfId="111"/>
    <cellStyle name="20% - 강조색5 8" xfId="112"/>
    <cellStyle name="20% - 강조색5 9" xfId="113"/>
    <cellStyle name="20% - 강조색6 10" xfId="114"/>
    <cellStyle name="20% - 강조색6 11" xfId="115"/>
    <cellStyle name="20% - 강조색6 12" xfId="116"/>
    <cellStyle name="20% - 강조색6 2" xfId="117"/>
    <cellStyle name="20% - 강조색6 2 10" xfId="118"/>
    <cellStyle name="20% - 강조색6 2 11" xfId="119"/>
    <cellStyle name="20% - 강조색6 2 12" xfId="120"/>
    <cellStyle name="20% - 강조색6 2 13" xfId="666"/>
    <cellStyle name="20% - 강조색6 2 2" xfId="121"/>
    <cellStyle name="20% - 강조색6 2 3" xfId="122"/>
    <cellStyle name="20% - 강조색6 2 4" xfId="123"/>
    <cellStyle name="20% - 강조색6 2 5" xfId="124"/>
    <cellStyle name="20% - 강조색6 2 6" xfId="125"/>
    <cellStyle name="20% - 강조색6 2 7" xfId="126"/>
    <cellStyle name="20% - 강조색6 2 8" xfId="127"/>
    <cellStyle name="20% - 강조색6 2 9" xfId="128"/>
    <cellStyle name="20% - 강조색6 3" xfId="129"/>
    <cellStyle name="20% - 강조색6 3 2" xfId="667"/>
    <cellStyle name="20% - 강조색6 4" xfId="130"/>
    <cellStyle name="20% - 강조색6 5" xfId="131"/>
    <cellStyle name="20% - 강조색6 6" xfId="132"/>
    <cellStyle name="20% - 강조색6 7" xfId="133"/>
    <cellStyle name="20% - 강조색6 8" xfId="134"/>
    <cellStyle name="20% - 강조색6 9" xfId="135"/>
    <cellStyle name="40% - 강조색1 10" xfId="136"/>
    <cellStyle name="40% - 강조색1 11" xfId="137"/>
    <cellStyle name="40% - 강조색1 12" xfId="138"/>
    <cellStyle name="40% - 강조색1 2" xfId="139"/>
    <cellStyle name="40% - 강조색1 2 10" xfId="140"/>
    <cellStyle name="40% - 강조색1 2 11" xfId="141"/>
    <cellStyle name="40% - 강조색1 2 12" xfId="142"/>
    <cellStyle name="40% - 강조색1 2 13" xfId="668"/>
    <cellStyle name="40% - 강조색1 2 2" xfId="143"/>
    <cellStyle name="40% - 강조색1 2 3" xfId="144"/>
    <cellStyle name="40% - 강조색1 2 4" xfId="145"/>
    <cellStyle name="40% - 강조색1 2 5" xfId="146"/>
    <cellStyle name="40% - 강조색1 2 6" xfId="147"/>
    <cellStyle name="40% - 강조색1 2 7" xfId="148"/>
    <cellStyle name="40% - 강조색1 2 8" xfId="149"/>
    <cellStyle name="40% - 강조색1 2 9" xfId="150"/>
    <cellStyle name="40% - 강조색1 3" xfId="151"/>
    <cellStyle name="40% - 강조색1 3 2" xfId="669"/>
    <cellStyle name="40% - 강조색1 4" xfId="152"/>
    <cellStyle name="40% - 강조색1 5" xfId="153"/>
    <cellStyle name="40% - 강조색1 6" xfId="154"/>
    <cellStyle name="40% - 강조색1 7" xfId="155"/>
    <cellStyle name="40% - 강조색1 8" xfId="156"/>
    <cellStyle name="40% - 강조색1 9" xfId="157"/>
    <cellStyle name="40% - 강조색2 10" xfId="158"/>
    <cellStyle name="40% - 강조색2 11" xfId="159"/>
    <cellStyle name="40% - 강조색2 12" xfId="160"/>
    <cellStyle name="40% - 강조색2 2" xfId="161"/>
    <cellStyle name="40% - 강조색2 2 10" xfId="162"/>
    <cellStyle name="40% - 강조색2 2 11" xfId="163"/>
    <cellStyle name="40% - 강조색2 2 12" xfId="164"/>
    <cellStyle name="40% - 강조색2 2 13" xfId="670"/>
    <cellStyle name="40% - 강조색2 2 2" xfId="165"/>
    <cellStyle name="40% - 강조색2 2 3" xfId="166"/>
    <cellStyle name="40% - 강조색2 2 4" xfId="167"/>
    <cellStyle name="40% - 강조색2 2 5" xfId="168"/>
    <cellStyle name="40% - 강조색2 2 6" xfId="169"/>
    <cellStyle name="40% - 강조색2 2 7" xfId="170"/>
    <cellStyle name="40% - 강조색2 2 8" xfId="171"/>
    <cellStyle name="40% - 강조색2 2 9" xfId="172"/>
    <cellStyle name="40% - 강조색2 3" xfId="173"/>
    <cellStyle name="40% - 강조색2 3 2" xfId="671"/>
    <cellStyle name="40% - 강조색2 4" xfId="174"/>
    <cellStyle name="40% - 강조색2 5" xfId="175"/>
    <cellStyle name="40% - 강조색2 6" xfId="176"/>
    <cellStyle name="40% - 강조색2 7" xfId="177"/>
    <cellStyle name="40% - 강조색2 8" xfId="178"/>
    <cellStyle name="40% - 강조색2 9" xfId="179"/>
    <cellStyle name="40% - 강조색3 10" xfId="180"/>
    <cellStyle name="40% - 강조색3 11" xfId="181"/>
    <cellStyle name="40% - 강조색3 12" xfId="182"/>
    <cellStyle name="40% - 강조색3 2" xfId="183"/>
    <cellStyle name="40% - 강조색3 2 10" xfId="184"/>
    <cellStyle name="40% - 강조색3 2 11" xfId="185"/>
    <cellStyle name="40% - 강조색3 2 12" xfId="186"/>
    <cellStyle name="40% - 강조색3 2 13" xfId="672"/>
    <cellStyle name="40% - 강조색3 2 2" xfId="187"/>
    <cellStyle name="40% - 강조색3 2 3" xfId="188"/>
    <cellStyle name="40% - 강조색3 2 4" xfId="189"/>
    <cellStyle name="40% - 강조색3 2 5" xfId="190"/>
    <cellStyle name="40% - 강조색3 2 6" xfId="191"/>
    <cellStyle name="40% - 강조색3 2 7" xfId="192"/>
    <cellStyle name="40% - 강조색3 2 8" xfId="193"/>
    <cellStyle name="40% - 강조색3 2 9" xfId="194"/>
    <cellStyle name="40% - 강조색3 3" xfId="195"/>
    <cellStyle name="40% - 강조색3 3 2" xfId="673"/>
    <cellStyle name="40% - 강조색3 4" xfId="196"/>
    <cellStyle name="40% - 강조색3 5" xfId="197"/>
    <cellStyle name="40% - 강조색3 6" xfId="198"/>
    <cellStyle name="40% - 강조색3 7" xfId="199"/>
    <cellStyle name="40% - 강조색3 8" xfId="200"/>
    <cellStyle name="40% - 강조색3 9" xfId="201"/>
    <cellStyle name="40% - 강조색4 10" xfId="202"/>
    <cellStyle name="40% - 강조색4 11" xfId="203"/>
    <cellStyle name="40% - 강조색4 12" xfId="204"/>
    <cellStyle name="40% - 강조색4 2" xfId="205"/>
    <cellStyle name="40% - 강조색4 2 10" xfId="206"/>
    <cellStyle name="40% - 강조색4 2 11" xfId="207"/>
    <cellStyle name="40% - 강조색4 2 12" xfId="208"/>
    <cellStyle name="40% - 강조색4 2 13" xfId="674"/>
    <cellStyle name="40% - 강조색4 2 2" xfId="209"/>
    <cellStyle name="40% - 강조색4 2 3" xfId="210"/>
    <cellStyle name="40% - 강조색4 2 4" xfId="211"/>
    <cellStyle name="40% - 강조색4 2 5" xfId="212"/>
    <cellStyle name="40% - 강조색4 2 6" xfId="213"/>
    <cellStyle name="40% - 강조색4 2 7" xfId="214"/>
    <cellStyle name="40% - 강조색4 2 8" xfId="215"/>
    <cellStyle name="40% - 강조색4 2 9" xfId="216"/>
    <cellStyle name="40% - 강조색4 3" xfId="217"/>
    <cellStyle name="40% - 강조색4 3 2" xfId="675"/>
    <cellStyle name="40% - 강조색4 4" xfId="218"/>
    <cellStyle name="40% - 강조색4 5" xfId="219"/>
    <cellStyle name="40% - 강조색4 6" xfId="220"/>
    <cellStyle name="40% - 강조색4 7" xfId="221"/>
    <cellStyle name="40% - 강조색4 8" xfId="222"/>
    <cellStyle name="40% - 강조색4 9" xfId="223"/>
    <cellStyle name="40% - 강조색5 10" xfId="224"/>
    <cellStyle name="40% - 강조색5 11" xfId="225"/>
    <cellStyle name="40% - 강조색5 12" xfId="226"/>
    <cellStyle name="40% - 강조색5 2" xfId="227"/>
    <cellStyle name="40% - 강조색5 2 10" xfId="228"/>
    <cellStyle name="40% - 강조색5 2 11" xfId="229"/>
    <cellStyle name="40% - 강조색5 2 12" xfId="230"/>
    <cellStyle name="40% - 강조색5 2 13" xfId="676"/>
    <cellStyle name="40% - 강조색5 2 2" xfId="231"/>
    <cellStyle name="40% - 강조색5 2 3" xfId="232"/>
    <cellStyle name="40% - 강조색5 2 4" xfId="233"/>
    <cellStyle name="40% - 강조색5 2 5" xfId="234"/>
    <cellStyle name="40% - 강조색5 2 6" xfId="235"/>
    <cellStyle name="40% - 강조색5 2 7" xfId="236"/>
    <cellStyle name="40% - 강조색5 2 8" xfId="237"/>
    <cellStyle name="40% - 강조색5 2 9" xfId="238"/>
    <cellStyle name="40% - 강조색5 3" xfId="239"/>
    <cellStyle name="40% - 강조색5 3 2" xfId="677"/>
    <cellStyle name="40% - 강조색5 4" xfId="240"/>
    <cellStyle name="40% - 강조색5 5" xfId="241"/>
    <cellStyle name="40% - 강조색5 6" xfId="242"/>
    <cellStyle name="40% - 강조색5 7" xfId="243"/>
    <cellStyle name="40% - 강조색5 8" xfId="244"/>
    <cellStyle name="40% - 강조색5 9" xfId="245"/>
    <cellStyle name="40% - 강조색6 10" xfId="246"/>
    <cellStyle name="40% - 강조색6 11" xfId="247"/>
    <cellStyle name="40% - 강조색6 12" xfId="248"/>
    <cellStyle name="40% - 강조색6 2" xfId="249"/>
    <cellStyle name="40% - 강조색6 2 10" xfId="250"/>
    <cellStyle name="40% - 강조색6 2 11" xfId="251"/>
    <cellStyle name="40% - 강조색6 2 12" xfId="252"/>
    <cellStyle name="40% - 강조색6 2 13" xfId="678"/>
    <cellStyle name="40% - 강조색6 2 2" xfId="253"/>
    <cellStyle name="40% - 강조색6 2 3" xfId="254"/>
    <cellStyle name="40% - 강조색6 2 4" xfId="255"/>
    <cellStyle name="40% - 강조색6 2 5" xfId="256"/>
    <cellStyle name="40% - 강조색6 2 6" xfId="257"/>
    <cellStyle name="40% - 강조색6 2 7" xfId="258"/>
    <cellStyle name="40% - 강조색6 2 8" xfId="259"/>
    <cellStyle name="40% - 강조색6 2 9" xfId="260"/>
    <cellStyle name="40% - 강조색6 3" xfId="261"/>
    <cellStyle name="40% - 강조색6 3 2" xfId="679"/>
    <cellStyle name="40% - 강조색6 4" xfId="262"/>
    <cellStyle name="40% - 강조색6 5" xfId="263"/>
    <cellStyle name="40% - 강조색6 6" xfId="264"/>
    <cellStyle name="40% - 강조색6 7" xfId="265"/>
    <cellStyle name="40% - 강조색6 8" xfId="266"/>
    <cellStyle name="40% - 강조색6 9" xfId="267"/>
    <cellStyle name="60% - 강조색1 2" xfId="268"/>
    <cellStyle name="60% - 강조색1 2 2" xfId="680"/>
    <cellStyle name="60% - 강조색1 2 2 2" xfId="826"/>
    <cellStyle name="60% - 강조색1 3" xfId="269"/>
    <cellStyle name="60% - 강조색1 3 2" xfId="681"/>
    <cellStyle name="60% - 강조색1 4" xfId="270"/>
    <cellStyle name="60% - 강조색2 2" xfId="271"/>
    <cellStyle name="60% - 강조색2 2 2" xfId="682"/>
    <cellStyle name="60% - 강조색2 2 2 2" xfId="827"/>
    <cellStyle name="60% - 강조색2 3" xfId="272"/>
    <cellStyle name="60% - 강조색2 3 2" xfId="683"/>
    <cellStyle name="60% - 강조색2 4" xfId="273"/>
    <cellStyle name="60% - 강조색3 2" xfId="274"/>
    <cellStyle name="60% - 강조색3 2 2" xfId="684"/>
    <cellStyle name="60% - 강조색3 2 2 2" xfId="828"/>
    <cellStyle name="60% - 강조색3 3" xfId="275"/>
    <cellStyle name="60% - 강조색3 3 2" xfId="685"/>
    <cellStyle name="60% - 강조색3 4" xfId="276"/>
    <cellStyle name="60% - 강조색4 2" xfId="277"/>
    <cellStyle name="60% - 강조색4 2 2" xfId="686"/>
    <cellStyle name="60% - 강조색4 2 2 2" xfId="829"/>
    <cellStyle name="60% - 강조색4 3" xfId="278"/>
    <cellStyle name="60% - 강조색4 3 2" xfId="687"/>
    <cellStyle name="60% - 강조색4 4" xfId="279"/>
    <cellStyle name="60% - 강조색5 2" xfId="280"/>
    <cellStyle name="60% - 강조색5 2 2" xfId="688"/>
    <cellStyle name="60% - 강조색5 2 2 2" xfId="830"/>
    <cellStyle name="60% - 강조색5 3" xfId="281"/>
    <cellStyle name="60% - 강조색5 3 2" xfId="689"/>
    <cellStyle name="60% - 강조색5 4" xfId="282"/>
    <cellStyle name="60% - 강조색6 2" xfId="283"/>
    <cellStyle name="60% - 강조색6 2 2" xfId="690"/>
    <cellStyle name="60% - 강조색6 2 2 2" xfId="831"/>
    <cellStyle name="60% - 강조색6 3" xfId="284"/>
    <cellStyle name="60% - 강조색6 3 2" xfId="691"/>
    <cellStyle name="60% - 강조색6 4" xfId="285"/>
    <cellStyle name="AeE­ [0]_PERSONAL" xfId="629"/>
    <cellStyle name="AeE­_PERSONAL" xfId="630"/>
    <cellStyle name="ALIGNMENT" xfId="631"/>
    <cellStyle name="C￥AØ_PERSONAL" xfId="632"/>
    <cellStyle name="category" xfId="286"/>
    <cellStyle name="Comma [0]_ SG&amp;A Bridge " xfId="633"/>
    <cellStyle name="comma zerodec" xfId="287"/>
    <cellStyle name="Comma_ SG&amp;A Bridge " xfId="634"/>
    <cellStyle name="Currency [0]_ SG&amp;A Bridge " xfId="635"/>
    <cellStyle name="Currency_ SG&amp;A Bridge " xfId="636"/>
    <cellStyle name="Currency1" xfId="288"/>
    <cellStyle name="Dezimal [0]_laroux" xfId="637"/>
    <cellStyle name="Dezimal_laroux" xfId="638"/>
    <cellStyle name="Dollar (zero dec)" xfId="289"/>
    <cellStyle name="Grey" xfId="290"/>
    <cellStyle name="Grey 2" xfId="773"/>
    <cellStyle name="HEADER" xfId="291"/>
    <cellStyle name="Header1" xfId="292"/>
    <cellStyle name="Header2" xfId="293"/>
    <cellStyle name="Header2 2" xfId="294"/>
    <cellStyle name="Header2 3" xfId="295"/>
    <cellStyle name="Header2 4" xfId="296"/>
    <cellStyle name="Header2 5" xfId="297"/>
    <cellStyle name="Header2 6" xfId="298"/>
    <cellStyle name="Header2 7" xfId="299"/>
    <cellStyle name="Header2 8" xfId="300"/>
    <cellStyle name="Hyperlink_NEGS" xfId="639"/>
    <cellStyle name="Input [yellow]" xfId="301"/>
    <cellStyle name="Input [yellow] 2" xfId="302"/>
    <cellStyle name="Input [yellow] 2 2" xfId="774"/>
    <cellStyle name="Input [yellow] 2 2 2" xfId="858"/>
    <cellStyle name="Input [yellow] 3" xfId="303"/>
    <cellStyle name="Input [yellow] 3 2" xfId="859"/>
    <cellStyle name="Input [yellow] 4" xfId="304"/>
    <cellStyle name="Input [yellow] 4 2" xfId="860"/>
    <cellStyle name="Input [yellow] 5" xfId="305"/>
    <cellStyle name="Input [yellow] 5 2" xfId="861"/>
    <cellStyle name="Input [yellow] 6" xfId="306"/>
    <cellStyle name="Input [yellow] 6 2" xfId="862"/>
    <cellStyle name="Input [yellow] 7" xfId="307"/>
    <cellStyle name="Input [yellow] 7 2" xfId="863"/>
    <cellStyle name="Input [yellow] 8" xfId="308"/>
    <cellStyle name="Input [yellow] 8 2" xfId="864"/>
    <cellStyle name="Input [yellow] 9" xfId="857"/>
    <cellStyle name="Milliers [0]_Arabian Spec" xfId="640"/>
    <cellStyle name="Milliers_Arabian Spec" xfId="641"/>
    <cellStyle name="Model" xfId="309"/>
    <cellStyle name="Mon?aire [0]_Arabian Spec" xfId="642"/>
    <cellStyle name="Mon?aire_Arabian Spec" xfId="643"/>
    <cellStyle name="Normal - Style1" xfId="310"/>
    <cellStyle name="Normal - Style1 2" xfId="775"/>
    <cellStyle name="Normal_ SG&amp;A Bridge " xfId="644"/>
    <cellStyle name="Percent [2]" xfId="311"/>
    <cellStyle name="Standard_laroux" xfId="645"/>
    <cellStyle name="subhead" xfId="312"/>
    <cellStyle name="W?rung [0]_laroux" xfId="646"/>
    <cellStyle name="W?rung_laroux" xfId="647"/>
    <cellStyle name="강조색1 2" xfId="313"/>
    <cellStyle name="강조색1 2 2" xfId="692"/>
    <cellStyle name="강조색1 2 2 2" xfId="832"/>
    <cellStyle name="강조색1 3" xfId="314"/>
    <cellStyle name="강조색1 3 2" xfId="693"/>
    <cellStyle name="강조색1 4" xfId="315"/>
    <cellStyle name="강조색2 2" xfId="316"/>
    <cellStyle name="강조색2 2 2" xfId="694"/>
    <cellStyle name="강조색2 2 2 2" xfId="833"/>
    <cellStyle name="강조색2 3" xfId="317"/>
    <cellStyle name="강조색2 3 2" xfId="695"/>
    <cellStyle name="강조색2 4" xfId="318"/>
    <cellStyle name="강조색3 2" xfId="319"/>
    <cellStyle name="강조색3 2 2" xfId="696"/>
    <cellStyle name="강조색3 2 2 2" xfId="834"/>
    <cellStyle name="강조색3 3" xfId="320"/>
    <cellStyle name="강조색3 3 2" xfId="697"/>
    <cellStyle name="강조색3 4" xfId="321"/>
    <cellStyle name="강조색4 2" xfId="322"/>
    <cellStyle name="강조색4 2 2" xfId="698"/>
    <cellStyle name="강조색4 2 2 2" xfId="835"/>
    <cellStyle name="강조색4 3" xfId="323"/>
    <cellStyle name="강조색4 3 2" xfId="699"/>
    <cellStyle name="강조색4 4" xfId="324"/>
    <cellStyle name="강조색5 2" xfId="325"/>
    <cellStyle name="강조색5 2 2" xfId="700"/>
    <cellStyle name="강조색5 2 2 2" xfId="836"/>
    <cellStyle name="강조색5 3" xfId="326"/>
    <cellStyle name="강조색5 3 2" xfId="701"/>
    <cellStyle name="강조색5 4" xfId="327"/>
    <cellStyle name="강조색6 2" xfId="328"/>
    <cellStyle name="강조색6 2 2" xfId="702"/>
    <cellStyle name="강조색6 2 2 2" xfId="837"/>
    <cellStyle name="강조색6 3" xfId="329"/>
    <cellStyle name="강조색6 3 2" xfId="703"/>
    <cellStyle name="강조색6 4" xfId="330"/>
    <cellStyle name="경고문 2" xfId="331"/>
    <cellStyle name="경고문 2 2" xfId="704"/>
    <cellStyle name="경고문 2 2 2" xfId="838"/>
    <cellStyle name="경고문 3" xfId="332"/>
    <cellStyle name="경고문 3 2" xfId="705"/>
    <cellStyle name="경고문 4" xfId="333"/>
    <cellStyle name="계산 10" xfId="334"/>
    <cellStyle name="계산 11" xfId="335"/>
    <cellStyle name="계산 2" xfId="336"/>
    <cellStyle name="계산 2 2" xfId="337"/>
    <cellStyle name="계산 2 3" xfId="338"/>
    <cellStyle name="계산 2 4" xfId="339"/>
    <cellStyle name="계산 2 5" xfId="340"/>
    <cellStyle name="계산 2 6" xfId="341"/>
    <cellStyle name="계산 2 7" xfId="342"/>
    <cellStyle name="계산 2 8" xfId="343"/>
    <cellStyle name="계산 2 9" xfId="706"/>
    <cellStyle name="계산 3" xfId="344"/>
    <cellStyle name="계산 3 2" xfId="345"/>
    <cellStyle name="계산 3 3" xfId="346"/>
    <cellStyle name="계산 3 4" xfId="347"/>
    <cellStyle name="계산 3 5" xfId="348"/>
    <cellStyle name="계산 3 6" xfId="349"/>
    <cellStyle name="계산 3 7" xfId="350"/>
    <cellStyle name="계산 3 8" xfId="351"/>
    <cellStyle name="계산 3 9" xfId="707"/>
    <cellStyle name="계산 4" xfId="352"/>
    <cellStyle name="계산 4 2" xfId="353"/>
    <cellStyle name="계산 4 3" xfId="354"/>
    <cellStyle name="계산 4 4" xfId="355"/>
    <cellStyle name="계산 4 5" xfId="356"/>
    <cellStyle name="계산 4 6" xfId="357"/>
    <cellStyle name="계산 4 7" xfId="358"/>
    <cellStyle name="계산 4 8" xfId="359"/>
    <cellStyle name="계산 5" xfId="360"/>
    <cellStyle name="계산 6" xfId="361"/>
    <cellStyle name="계산 7" xfId="362"/>
    <cellStyle name="계산 8" xfId="363"/>
    <cellStyle name="계산 9" xfId="364"/>
    <cellStyle name="고정소숫점" xfId="708"/>
    <cellStyle name="고정출력1" xfId="709"/>
    <cellStyle name="고정출력2" xfId="710"/>
    <cellStyle name="나쁨 2" xfId="365"/>
    <cellStyle name="나쁨 2 2" xfId="711"/>
    <cellStyle name="나쁨 2 2 2" xfId="839"/>
    <cellStyle name="나쁨 3" xfId="366"/>
    <cellStyle name="나쁨 3 2" xfId="712"/>
    <cellStyle name="나쁨 4" xfId="367"/>
    <cellStyle name="날짜" xfId="713"/>
    <cellStyle name="달러" xfId="714"/>
    <cellStyle name="대제목" xfId="368"/>
    <cellStyle name="뒤에 오는 하이퍼링크_보고서목록" xfId="715"/>
    <cellStyle name="메모 10" xfId="369"/>
    <cellStyle name="메모 11" xfId="370"/>
    <cellStyle name="메모 2" xfId="371"/>
    <cellStyle name="메모 2 2" xfId="372"/>
    <cellStyle name="메모 2 3" xfId="373"/>
    <cellStyle name="메모 2 4" xfId="374"/>
    <cellStyle name="메모 2 5" xfId="375"/>
    <cellStyle name="메모 2 6" xfId="376"/>
    <cellStyle name="메모 2 7" xfId="377"/>
    <cellStyle name="메모 2 8" xfId="378"/>
    <cellStyle name="메모 2 9" xfId="716"/>
    <cellStyle name="메모 3" xfId="379"/>
    <cellStyle name="메모 3 2" xfId="380"/>
    <cellStyle name="메모 3 3" xfId="381"/>
    <cellStyle name="메모 3 4" xfId="382"/>
    <cellStyle name="메모 3 5" xfId="383"/>
    <cellStyle name="메모 3 6" xfId="384"/>
    <cellStyle name="메모 3 7" xfId="385"/>
    <cellStyle name="메모 3 8" xfId="386"/>
    <cellStyle name="메모 3 9" xfId="717"/>
    <cellStyle name="메모 4" xfId="387"/>
    <cellStyle name="메모 4 2" xfId="388"/>
    <cellStyle name="메모 4 3" xfId="389"/>
    <cellStyle name="메모 4 4" xfId="390"/>
    <cellStyle name="메모 4 5" xfId="391"/>
    <cellStyle name="메모 4 6" xfId="392"/>
    <cellStyle name="메모 4 7" xfId="393"/>
    <cellStyle name="메모 4 8" xfId="394"/>
    <cellStyle name="메모 5" xfId="395"/>
    <cellStyle name="메모 6" xfId="396"/>
    <cellStyle name="메모 7" xfId="397"/>
    <cellStyle name="메모 8" xfId="398"/>
    <cellStyle name="메모 9" xfId="399"/>
    <cellStyle name="문자필드" xfId="400"/>
    <cellStyle name="백분율 2" xfId="718"/>
    <cellStyle name="보통 2" xfId="401"/>
    <cellStyle name="보통 2 2" xfId="719"/>
    <cellStyle name="보통 2 2 2" xfId="840"/>
    <cellStyle name="보통 3" xfId="402"/>
    <cellStyle name="보통 3 2" xfId="720"/>
    <cellStyle name="보통 4" xfId="403"/>
    <cellStyle name="뷭?_BOOKSHIP" xfId="648"/>
    <cellStyle name="설명 텍스트 2" xfId="404"/>
    <cellStyle name="설명 텍스트 2 2" xfId="721"/>
    <cellStyle name="설명 텍스트 2 2 2" xfId="841"/>
    <cellStyle name="설명 텍스트 3" xfId="405"/>
    <cellStyle name="설명 텍스트 3 2" xfId="722"/>
    <cellStyle name="설명 텍스트 4" xfId="406"/>
    <cellStyle name="셀 확인 2" xfId="407"/>
    <cellStyle name="셀 확인 2 2" xfId="723"/>
    <cellStyle name="셀 확인 2 2 2" xfId="788"/>
    <cellStyle name="셀 확인 2 2 2 2" xfId="811"/>
    <cellStyle name="셀 확인 2 2 3" xfId="800"/>
    <cellStyle name="셀 확인 2 2 4" xfId="842"/>
    <cellStyle name="셀 확인 2 3" xfId="785"/>
    <cellStyle name="셀 확인 2 3 2" xfId="791"/>
    <cellStyle name="셀 확인 2 3 2 2" xfId="813"/>
    <cellStyle name="셀 확인 2 3 3" xfId="808"/>
    <cellStyle name="셀 확인 3" xfId="408"/>
    <cellStyle name="셀 확인 3 2" xfId="724"/>
    <cellStyle name="셀 확인 3 3" xfId="786"/>
    <cellStyle name="셀 확인 3 3 2" xfId="792"/>
    <cellStyle name="셀 확인 3 3 2 2" xfId="814"/>
    <cellStyle name="셀 확인 3 3 3" xfId="809"/>
    <cellStyle name="셀 확인 4" xfId="409"/>
    <cellStyle name="셀 확인 4 2" xfId="787"/>
    <cellStyle name="셀 확인 4 2 2" xfId="793"/>
    <cellStyle name="셀 확인 4 2 2 2" xfId="815"/>
    <cellStyle name="셀 확인 4 2 3" xfId="810"/>
    <cellStyle name="소제목" xfId="410"/>
    <cellStyle name="숫자(R)" xfId="725"/>
    <cellStyle name="숫자필드" xfId="411"/>
    <cellStyle name="쉼표 [0]" xfId="865" builtinId="6"/>
    <cellStyle name="스타일 1" xfId="412"/>
    <cellStyle name="스타일 1 2" xfId="727"/>
    <cellStyle name="스타일 1 2 2" xfId="789"/>
    <cellStyle name="스타일 1 2 3" xfId="852"/>
    <cellStyle name="스타일 1 3" xfId="728"/>
    <cellStyle name="스타일 1 4" xfId="726"/>
    <cellStyle name="연결된 셀 2" xfId="413"/>
    <cellStyle name="연결된 셀 2 2" xfId="729"/>
    <cellStyle name="연결된 셀 2 2 2" xfId="843"/>
    <cellStyle name="연결된 셀 3" xfId="414"/>
    <cellStyle name="연결된 셀 3 2" xfId="730"/>
    <cellStyle name="연결된 셀 4" xfId="415"/>
    <cellStyle name="요약 10" xfId="416"/>
    <cellStyle name="요약 11" xfId="417"/>
    <cellStyle name="요약 2" xfId="418"/>
    <cellStyle name="요약 2 2" xfId="419"/>
    <cellStyle name="요약 2 3" xfId="420"/>
    <cellStyle name="요약 2 4" xfId="421"/>
    <cellStyle name="요약 2 5" xfId="422"/>
    <cellStyle name="요약 2 6" xfId="423"/>
    <cellStyle name="요약 2 7" xfId="424"/>
    <cellStyle name="요약 2 8" xfId="425"/>
    <cellStyle name="요약 2 9" xfId="731"/>
    <cellStyle name="요약 3" xfId="426"/>
    <cellStyle name="요약 3 2" xfId="427"/>
    <cellStyle name="요약 3 3" xfId="428"/>
    <cellStyle name="요약 3 4" xfId="429"/>
    <cellStyle name="요약 3 5" xfId="430"/>
    <cellStyle name="요약 3 6" xfId="431"/>
    <cellStyle name="요약 3 7" xfId="432"/>
    <cellStyle name="요약 3 8" xfId="433"/>
    <cellStyle name="요약 3 9" xfId="732"/>
    <cellStyle name="요약 4" xfId="434"/>
    <cellStyle name="요약 4 2" xfId="435"/>
    <cellStyle name="요약 4 3" xfId="436"/>
    <cellStyle name="요약 4 4" xfId="437"/>
    <cellStyle name="요약 4 5" xfId="438"/>
    <cellStyle name="요약 4 6" xfId="439"/>
    <cellStyle name="요약 4 7" xfId="440"/>
    <cellStyle name="요약 4 8" xfId="441"/>
    <cellStyle name="요약 5" xfId="442"/>
    <cellStyle name="요약 6" xfId="443"/>
    <cellStyle name="요약 7" xfId="444"/>
    <cellStyle name="요약 8" xfId="445"/>
    <cellStyle name="요약 9" xfId="446"/>
    <cellStyle name="입력 10" xfId="447"/>
    <cellStyle name="입력 11" xfId="448"/>
    <cellStyle name="입력 2" xfId="449"/>
    <cellStyle name="입력 2 2" xfId="450"/>
    <cellStyle name="입력 2 3" xfId="451"/>
    <cellStyle name="입력 2 4" xfId="452"/>
    <cellStyle name="입력 2 5" xfId="453"/>
    <cellStyle name="입력 2 6" xfId="454"/>
    <cellStyle name="입력 2 7" xfId="455"/>
    <cellStyle name="입력 2 8" xfId="456"/>
    <cellStyle name="입력 2 9" xfId="733"/>
    <cellStyle name="입력 3" xfId="457"/>
    <cellStyle name="입력 3 2" xfId="458"/>
    <cellStyle name="입력 3 3" xfId="459"/>
    <cellStyle name="입력 3 4" xfId="460"/>
    <cellStyle name="입력 3 5" xfId="461"/>
    <cellStyle name="입력 3 6" xfId="462"/>
    <cellStyle name="입력 3 7" xfId="463"/>
    <cellStyle name="입력 3 8" xfId="464"/>
    <cellStyle name="입력 3 9" xfId="734"/>
    <cellStyle name="입력 4" xfId="465"/>
    <cellStyle name="입력 4 2" xfId="466"/>
    <cellStyle name="입력 4 3" xfId="467"/>
    <cellStyle name="입력 4 4" xfId="468"/>
    <cellStyle name="입력 4 5" xfId="469"/>
    <cellStyle name="입력 4 6" xfId="470"/>
    <cellStyle name="입력 4 7" xfId="471"/>
    <cellStyle name="입력 4 8" xfId="472"/>
    <cellStyle name="입력 5" xfId="473"/>
    <cellStyle name="입력 6" xfId="474"/>
    <cellStyle name="입력 7" xfId="475"/>
    <cellStyle name="입력 8" xfId="476"/>
    <cellStyle name="입력 9" xfId="477"/>
    <cellStyle name="자리수" xfId="735"/>
    <cellStyle name="자리수0" xfId="736"/>
    <cellStyle name="제목 1 2" xfId="478"/>
    <cellStyle name="제목 1 2 2" xfId="737"/>
    <cellStyle name="제목 1 2 2 2" xfId="844"/>
    <cellStyle name="제목 1 3" xfId="479"/>
    <cellStyle name="제목 1 3 2" xfId="738"/>
    <cellStyle name="제목 1 4" xfId="480"/>
    <cellStyle name="제목 2 2" xfId="481"/>
    <cellStyle name="제목 2 2 2" xfId="739"/>
    <cellStyle name="제목 2 2 2 2" xfId="845"/>
    <cellStyle name="제목 2 3" xfId="482"/>
    <cellStyle name="제목 2 3 2" xfId="740"/>
    <cellStyle name="제목 2 4" xfId="483"/>
    <cellStyle name="제목 3 2" xfId="484"/>
    <cellStyle name="제목 3 2 2" xfId="741"/>
    <cellStyle name="제목 3 2 2 2" xfId="846"/>
    <cellStyle name="제목 3 3" xfId="485"/>
    <cellStyle name="제목 3 3 2" xfId="742"/>
    <cellStyle name="제목 3 4" xfId="486"/>
    <cellStyle name="제목 4 2" xfId="487"/>
    <cellStyle name="제목 4 2 2" xfId="743"/>
    <cellStyle name="제목 4 2 2 2" xfId="847"/>
    <cellStyle name="제목 4 3" xfId="488"/>
    <cellStyle name="제목 4 3 2" xfId="744"/>
    <cellStyle name="제목 4 4" xfId="489"/>
    <cellStyle name="제목 5" xfId="490"/>
    <cellStyle name="제목 5 2" xfId="745"/>
    <cellStyle name="제목 5 2 2" xfId="848"/>
    <cellStyle name="제목 6" xfId="491"/>
    <cellStyle name="제목 6 2" xfId="746"/>
    <cellStyle name="제목 7" xfId="492"/>
    <cellStyle name="좋음 2" xfId="493"/>
    <cellStyle name="좋음 2 2" xfId="747"/>
    <cellStyle name="좋음 2 2 2" xfId="849"/>
    <cellStyle name="좋음 3" xfId="494"/>
    <cellStyle name="좋음 3 2" xfId="748"/>
    <cellStyle name="좋음 4" xfId="495"/>
    <cellStyle name="좋음 5" xfId="853"/>
    <cellStyle name="중제목" xfId="496"/>
    <cellStyle name="출력 10" xfId="497"/>
    <cellStyle name="출력 11" xfId="498"/>
    <cellStyle name="출력 2" xfId="499"/>
    <cellStyle name="출력 2 2" xfId="500"/>
    <cellStyle name="출력 2 3" xfId="501"/>
    <cellStyle name="출력 2 4" xfId="502"/>
    <cellStyle name="출력 2 5" xfId="503"/>
    <cellStyle name="출력 2 6" xfId="504"/>
    <cellStyle name="출력 2 7" xfId="505"/>
    <cellStyle name="출력 2 8" xfId="506"/>
    <cellStyle name="출력 2 9" xfId="749"/>
    <cellStyle name="출력 3" xfId="507"/>
    <cellStyle name="출력 3 2" xfId="508"/>
    <cellStyle name="출력 3 3" xfId="509"/>
    <cellStyle name="출력 3 4" xfId="510"/>
    <cellStyle name="출력 3 5" xfId="511"/>
    <cellStyle name="출력 3 6" xfId="512"/>
    <cellStyle name="출력 3 7" xfId="513"/>
    <cellStyle name="출력 3 8" xfId="514"/>
    <cellStyle name="출력 3 9" xfId="750"/>
    <cellStyle name="출력 4" xfId="515"/>
    <cellStyle name="출력 4 2" xfId="516"/>
    <cellStyle name="출력 4 3" xfId="517"/>
    <cellStyle name="출력 4 4" xfId="518"/>
    <cellStyle name="출력 4 5" xfId="519"/>
    <cellStyle name="출력 4 6" xfId="520"/>
    <cellStyle name="출력 4 7" xfId="521"/>
    <cellStyle name="출력 4 8" xfId="522"/>
    <cellStyle name="출력 5" xfId="523"/>
    <cellStyle name="출력 6" xfId="524"/>
    <cellStyle name="출력 7" xfId="525"/>
    <cellStyle name="출력 8" xfId="526"/>
    <cellStyle name="출력 9" xfId="527"/>
    <cellStyle name="콤마 [0]_(type)총괄" xfId="751"/>
    <cellStyle name="콤마_(type)총괄" xfId="752"/>
    <cellStyle name="통화 [0] 2" xfId="753"/>
    <cellStyle name="통화 [0] 3" xfId="754"/>
    <cellStyle name="퍼센트" xfId="755"/>
    <cellStyle name="표내용" xfId="528"/>
    <cellStyle name="표제목" xfId="529"/>
    <cellStyle name="표준" xfId="0" builtinId="0"/>
    <cellStyle name="표준 10" xfId="795"/>
    <cellStyle name="표준 10 2" xfId="816"/>
    <cellStyle name="표준 10 3" xfId="850"/>
    <cellStyle name="표준 10 4" xfId="856"/>
    <cellStyle name="표준 10 5" xfId="869"/>
    <cellStyle name="표준 11" xfId="798"/>
    <cellStyle name="표준 11 2" xfId="818"/>
    <cellStyle name="표준 12" xfId="820"/>
    <cellStyle name="표준 13" xfId="854"/>
    <cellStyle name="표준 14" xfId="867"/>
    <cellStyle name="표준 15" xfId="871"/>
    <cellStyle name="표준 2" xfId="530"/>
    <cellStyle name="표준 2 2" xfId="531"/>
    <cellStyle name="표준 2 2 2" xfId="778"/>
    <cellStyle name="표준 2 2 3" xfId="794"/>
    <cellStyle name="표준 2 3" xfId="532"/>
    <cellStyle name="표준 2 3 2" xfId="758"/>
    <cellStyle name="표준 2 3 2 2" xfId="783"/>
    <cellStyle name="표준 2 3 2 2 2" xfId="806"/>
    <cellStyle name="표준 2 3 2 3" xfId="779"/>
    <cellStyle name="표준 2 3 2 3 2" xfId="803"/>
    <cellStyle name="표준 2 3 3" xfId="757"/>
    <cellStyle name="표준 2 4" xfId="533"/>
    <cellStyle name="표준 2 4 2" xfId="759"/>
    <cellStyle name="표준 2 4 2 2" xfId="784"/>
    <cellStyle name="표준 2 4 2 2 2" xfId="807"/>
    <cellStyle name="표준 2 4 3" xfId="780"/>
    <cellStyle name="표준 2 4 3 2" xfId="804"/>
    <cellStyle name="표준 2 5" xfId="534"/>
    <cellStyle name="표준 2 6" xfId="756"/>
    <cellStyle name="표준 2 7" xfId="870"/>
    <cellStyle name="표준 3" xfId="535"/>
    <cellStyle name="표준 3 2" xfId="536"/>
    <cellStyle name="표준 3 2 2" xfId="761"/>
    <cellStyle name="표준 3 2 3" xfId="823"/>
    <cellStyle name="표준 3 3" xfId="760"/>
    <cellStyle name="표준 3 3 2" xfId="851"/>
    <cellStyle name="표준 3 4" xfId="796"/>
    <cellStyle name="표준 3 4 2" xfId="817"/>
    <cellStyle name="표준 3 5" xfId="799"/>
    <cellStyle name="표준 3 5 2" xfId="819"/>
    <cellStyle name="표준 3 6" xfId="822"/>
    <cellStyle name="표준 4" xfId="537"/>
    <cellStyle name="표준 4 2" xfId="762"/>
    <cellStyle name="표준 4 3" xfId="776"/>
    <cellStyle name="표준 4 4" xfId="797"/>
    <cellStyle name="표준 4 5" xfId="824"/>
    <cellStyle name="표준 4 6" xfId="855"/>
    <cellStyle name="표준 4 7" xfId="868"/>
    <cellStyle name="표준 5" xfId="2"/>
    <cellStyle name="표준 5 10" xfId="538"/>
    <cellStyle name="표준 5 11" xfId="539"/>
    <cellStyle name="표준 5 12" xfId="540"/>
    <cellStyle name="표준 5 13" xfId="763"/>
    <cellStyle name="표준 5 14" xfId="825"/>
    <cellStyle name="표준 5 2" xfId="541"/>
    <cellStyle name="표준 5 2 10" xfId="542"/>
    <cellStyle name="표준 5 2 2" xfId="543"/>
    <cellStyle name="표준 5 2 2 10" xfId="544"/>
    <cellStyle name="표준 5 2 2 2" xfId="545"/>
    <cellStyle name="표준 5 2 2 3" xfId="546"/>
    <cellStyle name="표준 5 2 2 4" xfId="547"/>
    <cellStyle name="표준 5 2 2 5" xfId="548"/>
    <cellStyle name="표준 5 2 2 6" xfId="549"/>
    <cellStyle name="표준 5 2 2 7" xfId="550"/>
    <cellStyle name="표준 5 2 2 8" xfId="551"/>
    <cellStyle name="표준 5 2 2 9" xfId="552"/>
    <cellStyle name="표준 5 2 3" xfId="553"/>
    <cellStyle name="표준 5 2 4" xfId="554"/>
    <cellStyle name="표준 5 2 5" xfId="555"/>
    <cellStyle name="표준 5 2 6" xfId="556"/>
    <cellStyle name="표준 5 2 7" xfId="557"/>
    <cellStyle name="표준 5 2 8" xfId="558"/>
    <cellStyle name="표준 5 2 9" xfId="559"/>
    <cellStyle name="표준 5 3" xfId="560"/>
    <cellStyle name="표준 5 3 10" xfId="561"/>
    <cellStyle name="표준 5 3 2" xfId="562"/>
    <cellStyle name="표준 5 3 3" xfId="563"/>
    <cellStyle name="표준 5 3 4" xfId="564"/>
    <cellStyle name="표준 5 3 5" xfId="565"/>
    <cellStyle name="표준 5 3 6" xfId="566"/>
    <cellStyle name="표준 5 3 7" xfId="567"/>
    <cellStyle name="표준 5 3 8" xfId="568"/>
    <cellStyle name="표준 5 3 9" xfId="569"/>
    <cellStyle name="표준 5 4" xfId="570"/>
    <cellStyle name="표준 5 4 10" xfId="571"/>
    <cellStyle name="표준 5 4 2" xfId="572"/>
    <cellStyle name="표준 5 4 3" xfId="573"/>
    <cellStyle name="표준 5 4 4" xfId="574"/>
    <cellStyle name="표준 5 4 5" xfId="575"/>
    <cellStyle name="표준 5 4 6" xfId="576"/>
    <cellStyle name="표준 5 4 7" xfId="577"/>
    <cellStyle name="표준 5 4 8" xfId="578"/>
    <cellStyle name="표준 5 4 9" xfId="579"/>
    <cellStyle name="표준 5 5" xfId="580"/>
    <cellStyle name="표준 5 6" xfId="581"/>
    <cellStyle name="표준 5 7" xfId="582"/>
    <cellStyle name="표준 5 8" xfId="583"/>
    <cellStyle name="표준 5 9" xfId="584"/>
    <cellStyle name="표준 6" xfId="3"/>
    <cellStyle name="표준 6 10" xfId="585"/>
    <cellStyle name="표준 6 11" xfId="764"/>
    <cellStyle name="표준 6 12" xfId="821"/>
    <cellStyle name="표준 6 2" xfId="586"/>
    <cellStyle name="표준 6 2 10" xfId="587"/>
    <cellStyle name="표준 6 2 2" xfId="588"/>
    <cellStyle name="표준 6 2 3" xfId="589"/>
    <cellStyle name="표준 6 2 4" xfId="590"/>
    <cellStyle name="표준 6 2 5" xfId="591"/>
    <cellStyle name="표준 6 2 6" xfId="592"/>
    <cellStyle name="표준 6 2 7" xfId="593"/>
    <cellStyle name="표준 6 2 8" xfId="594"/>
    <cellStyle name="표준 6 2 9" xfId="595"/>
    <cellStyle name="표준 6 3" xfId="596"/>
    <cellStyle name="표준 6 4" xfId="597"/>
    <cellStyle name="표준 6 5" xfId="598"/>
    <cellStyle name="표준 6 6" xfId="599"/>
    <cellStyle name="표준 6 7" xfId="600"/>
    <cellStyle name="표준 6 8" xfId="601"/>
    <cellStyle name="표준 6 9" xfId="602"/>
    <cellStyle name="표준 7" xfId="765"/>
    <cellStyle name="표준 7 2" xfId="782"/>
    <cellStyle name="표준 7 2 2" xfId="805"/>
    <cellStyle name="표준 7 3" xfId="777"/>
    <cellStyle name="표준 7 3 2" xfId="802"/>
    <cellStyle name="표준 8" xfId="766"/>
    <cellStyle name="표준 8 2" xfId="781"/>
    <cellStyle name="표준 9" xfId="767"/>
    <cellStyle name="표준_국정포털-240-01(산출물목록-20060512b)" xfId="1"/>
    <cellStyle name="표준_별첨2_NX_PMO_MS_액셀 표지 및 본문 템플릿_v0.51" xfId="866"/>
    <cellStyle name="하이퍼링크 2" xfId="768"/>
    <cellStyle name="하이퍼링크 2 2" xfId="769"/>
    <cellStyle name="합산" xfId="770"/>
    <cellStyle name="합산 2" xfId="790"/>
    <cellStyle name="합산 2 2" xfId="812"/>
    <cellStyle name="합산 3" xfId="801"/>
    <cellStyle name="화폐기호" xfId="771"/>
    <cellStyle name="화폐기호0" xfId="77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06351" cy="8911233"/>
    <xdr:pic>
      <xdr:nvPicPr>
        <xdr:cNvPr id="2" name="그림 1">
          <a:extLst>
            <a:ext uri="{FF2B5EF4-FFF2-40B4-BE49-F238E27FC236}">
              <a16:creationId xmlns:a16="http://schemas.microsoft.com/office/drawing/2014/main" id="{F3BFBF2D-890D-4CC4-88A5-B173BFCB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06351" cy="89112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1030140" cy="7268616"/>
    <xdr:pic>
      <xdr:nvPicPr>
        <xdr:cNvPr id="3" name="그림 2">
          <a:extLst>
            <a:ext uri="{FF2B5EF4-FFF2-40B4-BE49-F238E27FC236}">
              <a16:creationId xmlns:a16="http://schemas.microsoft.com/office/drawing/2014/main" id="{5A283976-4860-4F0E-8946-3CA6AB82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20200"/>
          <a:ext cx="11030140" cy="726861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0992035" cy="5664104"/>
    <xdr:pic>
      <xdr:nvPicPr>
        <xdr:cNvPr id="4" name="그림 3">
          <a:extLst>
            <a:ext uri="{FF2B5EF4-FFF2-40B4-BE49-F238E27FC236}">
              <a16:creationId xmlns:a16="http://schemas.microsoft.com/office/drawing/2014/main" id="{4959D2EA-1828-447A-93DB-C7379433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764000"/>
          <a:ext cx="10992035" cy="5664104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1</xdr:row>
      <xdr:rowOff>0</xdr:rowOff>
    </xdr:from>
    <xdr:ext cx="17853722" cy="8132794"/>
    <xdr:pic>
      <xdr:nvPicPr>
        <xdr:cNvPr id="5" name="그림 4">
          <a:extLst>
            <a:ext uri="{FF2B5EF4-FFF2-40B4-BE49-F238E27FC236}">
              <a16:creationId xmlns:a16="http://schemas.microsoft.com/office/drawing/2014/main" id="{D1D7A79C-98D4-4CB1-8DDF-898AFDA2D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01800" y="209550"/>
          <a:ext cx="17853722" cy="81327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4"/>
  <sheetViews>
    <sheetView showGridLines="0" tabSelected="1" zoomScale="115" zoomScaleNormal="115" workbookViewId="0">
      <pane ySplit="2" topLeftCell="A3" activePane="bottomLeft" state="frozen"/>
      <selection pane="bottomLeft" activeCell="O14" sqref="O13:O14"/>
    </sheetView>
  </sheetViews>
  <sheetFormatPr defaultColWidth="9" defaultRowHeight="12" x14ac:dyDescent="0.3"/>
  <cols>
    <col min="1" max="1" width="3.625" style="25" bestFit="1" customWidth="1"/>
    <col min="2" max="2" width="9.625" style="26" customWidth="1"/>
    <col min="3" max="3" width="7.5" style="26" customWidth="1"/>
    <col min="4" max="4" width="8.75" style="26" customWidth="1"/>
    <col min="5" max="5" width="10.5" style="26" customWidth="1"/>
    <col min="6" max="6" width="22.75" style="26" customWidth="1"/>
    <col min="7" max="7" width="8.5" style="27" customWidth="1"/>
    <col min="8" max="8" width="15.75" style="26" customWidth="1"/>
    <col min="9" max="9" width="57.25" style="26" customWidth="1"/>
    <col min="10" max="10" width="10.5" style="26" customWidth="1"/>
    <col min="11" max="11" width="4.5" style="26" customWidth="1"/>
    <col min="12" max="12" width="9.5" style="26" customWidth="1"/>
    <col min="13" max="13" width="13.25" style="26" customWidth="1"/>
    <col min="14" max="14" width="6.125" style="26" customWidth="1"/>
    <col min="15" max="18" width="7.5" style="27" customWidth="1"/>
    <col min="19" max="19" width="7" style="26" customWidth="1"/>
    <col min="20" max="20" width="6.875" style="26" customWidth="1"/>
    <col min="21" max="21" width="10" style="26" customWidth="1"/>
    <col min="22" max="22" width="10" style="27" customWidth="1"/>
    <col min="23" max="23" width="9.625" style="25" customWidth="1"/>
    <col min="24" max="24" width="3.25" style="25" customWidth="1"/>
    <col min="25" max="26" width="6.125" style="25" bestFit="1" customWidth="1"/>
    <col min="27" max="27" width="69.125" style="25" customWidth="1"/>
    <col min="28" max="28" width="4.5" style="25" bestFit="1" customWidth="1"/>
    <col min="29" max="29" width="8.375" style="25" customWidth="1"/>
    <col min="30" max="16384" width="9" style="25"/>
  </cols>
  <sheetData>
    <row r="1" spans="1:28" s="23" customFormat="1" x14ac:dyDescent="0.3">
      <c r="A1" s="74" t="s">
        <v>341</v>
      </c>
      <c r="B1" s="72" t="s">
        <v>150</v>
      </c>
      <c r="C1" s="72" t="s">
        <v>173</v>
      </c>
      <c r="D1" s="72" t="s">
        <v>170</v>
      </c>
      <c r="E1" s="72" t="s">
        <v>172</v>
      </c>
      <c r="F1" s="72" t="s">
        <v>171</v>
      </c>
      <c r="G1" s="72" t="s">
        <v>113</v>
      </c>
      <c r="H1" s="72" t="s">
        <v>117</v>
      </c>
      <c r="I1" s="72" t="s">
        <v>125</v>
      </c>
      <c r="J1" s="72" t="s">
        <v>37</v>
      </c>
      <c r="K1" s="72" t="s">
        <v>99</v>
      </c>
      <c r="L1" s="72" t="s">
        <v>110</v>
      </c>
      <c r="M1" s="74" t="s">
        <v>120</v>
      </c>
      <c r="N1" s="74"/>
      <c r="O1" s="72" t="s">
        <v>36</v>
      </c>
      <c r="P1" s="72" t="s">
        <v>35</v>
      </c>
      <c r="Q1" s="72" t="s">
        <v>23</v>
      </c>
      <c r="R1" s="72" t="s">
        <v>15</v>
      </c>
      <c r="S1" s="72" t="s">
        <v>21</v>
      </c>
      <c r="T1" s="77" t="s">
        <v>127</v>
      </c>
      <c r="U1" s="78"/>
      <c r="V1" s="72" t="s">
        <v>132</v>
      </c>
      <c r="W1" s="72" t="s">
        <v>118</v>
      </c>
      <c r="X1" s="75" t="s">
        <v>326</v>
      </c>
      <c r="Y1" s="75" t="s">
        <v>336</v>
      </c>
      <c r="Z1" s="75" t="s">
        <v>342</v>
      </c>
      <c r="AA1" s="75" t="s">
        <v>327</v>
      </c>
      <c r="AB1" s="75" t="s">
        <v>328</v>
      </c>
    </row>
    <row r="2" spans="1:28" s="23" customFormat="1" ht="24" x14ac:dyDescent="0.3">
      <c r="A2" s="74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37" t="s">
        <v>94</v>
      </c>
      <c r="N2" s="37" t="s">
        <v>101</v>
      </c>
      <c r="O2" s="73"/>
      <c r="P2" s="73"/>
      <c r="Q2" s="73"/>
      <c r="R2" s="73"/>
      <c r="S2" s="73"/>
      <c r="T2" s="24" t="s">
        <v>122</v>
      </c>
      <c r="U2" s="24" t="s">
        <v>111</v>
      </c>
      <c r="V2" s="73"/>
      <c r="W2" s="73"/>
      <c r="X2" s="76"/>
      <c r="Y2" s="76"/>
      <c r="Z2" s="76"/>
      <c r="AA2" s="76"/>
      <c r="AB2" s="76"/>
    </row>
    <row r="3" spans="1:28" s="28" customFormat="1" ht="36" x14ac:dyDescent="0.3">
      <c r="A3" s="85">
        <v>1</v>
      </c>
      <c r="B3" s="86" t="s">
        <v>169</v>
      </c>
      <c r="C3" s="86" t="s">
        <v>167</v>
      </c>
      <c r="D3" s="86" t="s">
        <v>177</v>
      </c>
      <c r="E3" s="86" t="s">
        <v>178</v>
      </c>
      <c r="F3" s="86" t="s">
        <v>218</v>
      </c>
      <c r="G3" s="87" t="s">
        <v>290</v>
      </c>
      <c r="H3" s="88" t="s">
        <v>191</v>
      </c>
      <c r="I3" s="86" t="s">
        <v>219</v>
      </c>
      <c r="J3" s="86" t="s">
        <v>324</v>
      </c>
      <c r="K3" s="86"/>
      <c r="L3" s="86"/>
      <c r="M3" s="90" t="s">
        <v>176</v>
      </c>
      <c r="N3" s="91" t="s">
        <v>183</v>
      </c>
      <c r="O3" s="92" t="s">
        <v>104</v>
      </c>
      <c r="P3" s="92" t="s">
        <v>167</v>
      </c>
      <c r="Q3" s="92" t="s">
        <v>159</v>
      </c>
      <c r="R3" s="92" t="s">
        <v>181</v>
      </c>
      <c r="S3" s="89"/>
      <c r="T3" s="92"/>
      <c r="U3" s="86"/>
      <c r="V3" s="93">
        <v>46174</v>
      </c>
      <c r="W3" s="93">
        <v>46174</v>
      </c>
      <c r="X3" s="85"/>
      <c r="Y3" s="85">
        <v>0.25</v>
      </c>
      <c r="Z3" s="85"/>
      <c r="AA3" s="85" t="s">
        <v>345</v>
      </c>
      <c r="AB3" s="85"/>
    </row>
    <row r="4" spans="1:28" s="45" customFormat="1" ht="48" customHeight="1" x14ac:dyDescent="0.3">
      <c r="A4" s="63">
        <v>2</v>
      </c>
      <c r="B4" s="38" t="s">
        <v>169</v>
      </c>
      <c r="C4" s="38" t="s">
        <v>167</v>
      </c>
      <c r="D4" s="38" t="s">
        <v>177</v>
      </c>
      <c r="E4" s="38" t="s">
        <v>185</v>
      </c>
      <c r="F4" s="38" t="s">
        <v>186</v>
      </c>
      <c r="G4" s="49" t="s">
        <v>295</v>
      </c>
      <c r="H4" s="38" t="s">
        <v>192</v>
      </c>
      <c r="I4" s="40" t="s">
        <v>187</v>
      </c>
      <c r="J4" s="38" t="s">
        <v>324</v>
      </c>
      <c r="K4" s="38"/>
      <c r="L4" s="38"/>
      <c r="M4" s="41" t="s">
        <v>176</v>
      </c>
      <c r="N4" s="39" t="s">
        <v>183</v>
      </c>
      <c r="O4" s="42" t="s">
        <v>100</v>
      </c>
      <c r="P4" s="42" t="s">
        <v>167</v>
      </c>
      <c r="Q4" s="42" t="s">
        <v>168</v>
      </c>
      <c r="R4" s="42" t="s">
        <v>181</v>
      </c>
      <c r="S4" s="43"/>
      <c r="T4" s="42"/>
      <c r="U4" s="38"/>
      <c r="V4" s="44">
        <v>46174</v>
      </c>
      <c r="W4" s="44">
        <v>46174</v>
      </c>
      <c r="X4" s="63"/>
      <c r="Y4" s="63">
        <v>1.5</v>
      </c>
      <c r="Z4" s="63">
        <v>1</v>
      </c>
      <c r="AA4" s="63" t="s">
        <v>347</v>
      </c>
      <c r="AB4" s="63"/>
    </row>
    <row r="5" spans="1:28" s="45" customFormat="1" ht="36" x14ac:dyDescent="0.3">
      <c r="A5" s="63">
        <v>3</v>
      </c>
      <c r="B5" s="38" t="s">
        <v>169</v>
      </c>
      <c r="C5" s="38" t="s">
        <v>167</v>
      </c>
      <c r="D5" s="38" t="s">
        <v>177</v>
      </c>
      <c r="E5" s="38" t="s">
        <v>179</v>
      </c>
      <c r="F5" s="38" t="s">
        <v>180</v>
      </c>
      <c r="G5" s="49" t="s">
        <v>298</v>
      </c>
      <c r="H5" s="46" t="s">
        <v>193</v>
      </c>
      <c r="I5" s="43" t="s">
        <v>184</v>
      </c>
      <c r="J5" s="38" t="s">
        <v>324</v>
      </c>
      <c r="K5" s="38"/>
      <c r="L5" s="38"/>
      <c r="M5" s="41" t="s">
        <v>176</v>
      </c>
      <c r="N5" s="39" t="s">
        <v>183</v>
      </c>
      <c r="O5" s="42" t="s">
        <v>100</v>
      </c>
      <c r="P5" s="42" t="s">
        <v>167</v>
      </c>
      <c r="Q5" s="42" t="s">
        <v>168</v>
      </c>
      <c r="R5" s="42" t="s">
        <v>181</v>
      </c>
      <c r="S5" s="43"/>
      <c r="T5" s="42"/>
      <c r="U5" s="38"/>
      <c r="V5" s="44">
        <v>46174</v>
      </c>
      <c r="W5" s="44">
        <v>46174</v>
      </c>
      <c r="X5" s="63"/>
      <c r="Y5" s="63">
        <v>1</v>
      </c>
      <c r="Z5" s="63">
        <v>0.5</v>
      </c>
      <c r="AA5" s="63" t="s">
        <v>348</v>
      </c>
      <c r="AB5" s="63"/>
    </row>
    <row r="6" spans="1:28" s="28" customFormat="1" ht="21" customHeight="1" x14ac:dyDescent="0.3">
      <c r="A6" s="85">
        <v>4</v>
      </c>
      <c r="B6" s="86" t="s">
        <v>169</v>
      </c>
      <c r="C6" s="86" t="s">
        <v>167</v>
      </c>
      <c r="D6" s="86" t="s">
        <v>177</v>
      </c>
      <c r="E6" s="86" t="s">
        <v>179</v>
      </c>
      <c r="F6" s="86" t="s">
        <v>188</v>
      </c>
      <c r="G6" s="87" t="s">
        <v>303</v>
      </c>
      <c r="H6" s="88" t="s">
        <v>194</v>
      </c>
      <c r="I6" s="89" t="s">
        <v>189</v>
      </c>
      <c r="J6" s="86" t="s">
        <v>324</v>
      </c>
      <c r="K6" s="86"/>
      <c r="L6" s="86"/>
      <c r="M6" s="90" t="s">
        <v>176</v>
      </c>
      <c r="N6" s="91" t="s">
        <v>183</v>
      </c>
      <c r="O6" s="92" t="s">
        <v>182</v>
      </c>
      <c r="P6" s="92" t="s">
        <v>167</v>
      </c>
      <c r="Q6" s="92" t="s">
        <v>168</v>
      </c>
      <c r="R6" s="92" t="s">
        <v>181</v>
      </c>
      <c r="S6" s="89"/>
      <c r="T6" s="92"/>
      <c r="U6" s="86"/>
      <c r="V6" s="93">
        <v>46174</v>
      </c>
      <c r="W6" s="93">
        <v>46174</v>
      </c>
      <c r="X6" s="85"/>
      <c r="Y6" s="85">
        <v>0.25</v>
      </c>
      <c r="Z6" s="85"/>
      <c r="AA6" s="85" t="s">
        <v>344</v>
      </c>
      <c r="AB6" s="85"/>
    </row>
    <row r="7" spans="1:28" s="28" customFormat="1" ht="21" customHeight="1" x14ac:dyDescent="0.3">
      <c r="A7" s="85">
        <v>5</v>
      </c>
      <c r="B7" s="86" t="s">
        <v>169</v>
      </c>
      <c r="C7" s="86" t="s">
        <v>167</v>
      </c>
      <c r="D7" s="86" t="s">
        <v>177</v>
      </c>
      <c r="E7" s="86" t="s">
        <v>179</v>
      </c>
      <c r="F7" s="86" t="s">
        <v>190</v>
      </c>
      <c r="G7" s="87" t="s">
        <v>306</v>
      </c>
      <c r="H7" s="88" t="s">
        <v>193</v>
      </c>
      <c r="I7" s="89" t="s">
        <v>189</v>
      </c>
      <c r="J7" s="86" t="s">
        <v>324</v>
      </c>
      <c r="K7" s="86"/>
      <c r="L7" s="86"/>
      <c r="M7" s="90" t="s">
        <v>176</v>
      </c>
      <c r="N7" s="91" t="s">
        <v>183</v>
      </c>
      <c r="O7" s="92" t="s">
        <v>182</v>
      </c>
      <c r="P7" s="92" t="s">
        <v>167</v>
      </c>
      <c r="Q7" s="92" t="s">
        <v>168</v>
      </c>
      <c r="R7" s="92" t="s">
        <v>181</v>
      </c>
      <c r="S7" s="89"/>
      <c r="T7" s="92"/>
      <c r="U7" s="86"/>
      <c r="V7" s="93">
        <v>46174</v>
      </c>
      <c r="W7" s="93">
        <v>46174</v>
      </c>
      <c r="X7" s="85"/>
      <c r="Y7" s="85">
        <v>0.25</v>
      </c>
      <c r="Z7" s="85"/>
      <c r="AA7" s="85" t="s">
        <v>343</v>
      </c>
      <c r="AB7" s="85"/>
    </row>
    <row r="8" spans="1:28" s="45" customFormat="1" ht="29.25" customHeight="1" x14ac:dyDescent="0.3">
      <c r="A8" s="63">
        <v>6</v>
      </c>
      <c r="B8" s="38" t="s">
        <v>169</v>
      </c>
      <c r="C8" s="38" t="s">
        <v>167</v>
      </c>
      <c r="D8" s="38" t="s">
        <v>205</v>
      </c>
      <c r="E8" s="38" t="s">
        <v>199</v>
      </c>
      <c r="F8" s="38" t="s">
        <v>200</v>
      </c>
      <c r="G8" s="49" t="s">
        <v>309</v>
      </c>
      <c r="H8" s="46" t="s">
        <v>195</v>
      </c>
      <c r="I8" s="47" t="s">
        <v>196</v>
      </c>
      <c r="J8" s="38" t="s">
        <v>324</v>
      </c>
      <c r="K8" s="38"/>
      <c r="L8" s="38"/>
      <c r="M8" s="41" t="s">
        <v>176</v>
      </c>
      <c r="N8" s="39" t="s">
        <v>183</v>
      </c>
      <c r="O8" s="42" t="s">
        <v>100</v>
      </c>
      <c r="P8" s="42" t="s">
        <v>167</v>
      </c>
      <c r="Q8" s="42" t="s">
        <v>168</v>
      </c>
      <c r="R8" s="42" t="s">
        <v>181</v>
      </c>
      <c r="S8" s="43"/>
      <c r="T8" s="42"/>
      <c r="U8" s="38"/>
      <c r="V8" s="44">
        <v>46174</v>
      </c>
      <c r="W8" s="44">
        <v>46174</v>
      </c>
      <c r="X8" s="63"/>
      <c r="Y8" s="63">
        <v>0.25</v>
      </c>
      <c r="Z8" s="63">
        <v>0.25</v>
      </c>
      <c r="AA8" s="63" t="s">
        <v>349</v>
      </c>
      <c r="AB8" s="63"/>
    </row>
    <row r="9" spans="1:28" s="45" customFormat="1" ht="28.5" customHeight="1" x14ac:dyDescent="0.3">
      <c r="A9" s="63">
        <v>7</v>
      </c>
      <c r="B9" s="38" t="s">
        <v>169</v>
      </c>
      <c r="C9" s="38" t="s">
        <v>167</v>
      </c>
      <c r="D9" s="38" t="s">
        <v>205</v>
      </c>
      <c r="E9" s="38" t="s">
        <v>201</v>
      </c>
      <c r="F9" s="38" t="s">
        <v>198</v>
      </c>
      <c r="G9" s="49" t="s">
        <v>310</v>
      </c>
      <c r="H9" s="46" t="s">
        <v>197</v>
      </c>
      <c r="I9" s="38" t="s">
        <v>202</v>
      </c>
      <c r="J9" s="38" t="s">
        <v>324</v>
      </c>
      <c r="K9" s="38"/>
      <c r="L9" s="38"/>
      <c r="M9" s="41" t="s">
        <v>176</v>
      </c>
      <c r="N9" s="39" t="s">
        <v>183</v>
      </c>
      <c r="O9" s="42" t="s">
        <v>100</v>
      </c>
      <c r="P9" s="42" t="s">
        <v>167</v>
      </c>
      <c r="Q9" s="42" t="s">
        <v>159</v>
      </c>
      <c r="R9" s="42" t="s">
        <v>181</v>
      </c>
      <c r="S9" s="38"/>
      <c r="T9" s="42"/>
      <c r="U9" s="38"/>
      <c r="V9" s="44">
        <v>46174</v>
      </c>
      <c r="W9" s="44">
        <v>46174</v>
      </c>
      <c r="X9" s="63"/>
      <c r="Y9" s="63">
        <v>0.25</v>
      </c>
      <c r="Z9" s="63">
        <v>0.25</v>
      </c>
      <c r="AA9" s="63" t="s">
        <v>350</v>
      </c>
      <c r="AB9" s="63"/>
    </row>
    <row r="10" spans="1:28" s="45" customFormat="1" ht="36" x14ac:dyDescent="0.3">
      <c r="A10" s="63">
        <v>8</v>
      </c>
      <c r="B10" s="38" t="s">
        <v>169</v>
      </c>
      <c r="C10" s="38" t="s">
        <v>167</v>
      </c>
      <c r="D10" s="38" t="s">
        <v>205</v>
      </c>
      <c r="E10" s="38" t="s">
        <v>199</v>
      </c>
      <c r="F10" s="38" t="s">
        <v>203</v>
      </c>
      <c r="G10" s="49" t="s">
        <v>311</v>
      </c>
      <c r="H10" s="46" t="s">
        <v>204</v>
      </c>
      <c r="I10" s="47" t="s">
        <v>206</v>
      </c>
      <c r="J10" s="38" t="s">
        <v>324</v>
      </c>
      <c r="K10" s="38"/>
      <c r="L10" s="38"/>
      <c r="M10" s="41" t="s">
        <v>176</v>
      </c>
      <c r="N10" s="39" t="s">
        <v>183</v>
      </c>
      <c r="O10" s="42" t="s">
        <v>100</v>
      </c>
      <c r="P10" s="42" t="s">
        <v>167</v>
      </c>
      <c r="Q10" s="42" t="s">
        <v>159</v>
      </c>
      <c r="R10" s="42" t="s">
        <v>181</v>
      </c>
      <c r="S10" s="38"/>
      <c r="T10" s="42"/>
      <c r="U10" s="38"/>
      <c r="V10" s="44">
        <v>46174</v>
      </c>
      <c r="W10" s="44">
        <v>46174</v>
      </c>
      <c r="X10" s="63"/>
      <c r="Y10" s="63">
        <v>0.75</v>
      </c>
      <c r="Z10" s="63">
        <v>0.5</v>
      </c>
      <c r="AA10" s="63" t="s">
        <v>351</v>
      </c>
      <c r="AB10" s="63"/>
    </row>
    <row r="11" spans="1:28" s="28" customFormat="1" ht="57.75" customHeight="1" x14ac:dyDescent="0.3">
      <c r="A11" s="62">
        <v>9</v>
      </c>
      <c r="B11" s="32" t="s">
        <v>169</v>
      </c>
      <c r="C11" s="32" t="s">
        <v>167</v>
      </c>
      <c r="D11" s="32" t="s">
        <v>207</v>
      </c>
      <c r="E11" s="32" t="s">
        <v>208</v>
      </c>
      <c r="F11" s="32" t="s">
        <v>209</v>
      </c>
      <c r="G11" s="48" t="s">
        <v>312</v>
      </c>
      <c r="H11" s="32" t="s">
        <v>209</v>
      </c>
      <c r="I11" s="36" t="s">
        <v>331</v>
      </c>
      <c r="J11" s="32" t="s">
        <v>325</v>
      </c>
      <c r="K11" s="32"/>
      <c r="L11" s="32"/>
      <c r="M11" s="29" t="s">
        <v>176</v>
      </c>
      <c r="N11" s="30" t="s">
        <v>183</v>
      </c>
      <c r="O11" s="34" t="s">
        <v>104</v>
      </c>
      <c r="P11" s="34" t="s">
        <v>167</v>
      </c>
      <c r="Q11" s="34" t="s">
        <v>168</v>
      </c>
      <c r="R11" s="34" t="s">
        <v>181</v>
      </c>
      <c r="S11" s="33"/>
      <c r="T11" s="34"/>
      <c r="U11" s="32"/>
      <c r="V11" s="31">
        <v>46174</v>
      </c>
      <c r="W11" s="31">
        <v>46174</v>
      </c>
      <c r="X11" s="66">
        <v>1</v>
      </c>
      <c r="Y11" s="62">
        <v>0.5</v>
      </c>
      <c r="Z11" s="62">
        <v>0.5</v>
      </c>
      <c r="AA11" s="62" t="s">
        <v>353</v>
      </c>
      <c r="AB11" s="62"/>
    </row>
    <row r="12" spans="1:28" s="28" customFormat="1" ht="53.25" customHeight="1" x14ac:dyDescent="0.3">
      <c r="A12" s="62">
        <v>10</v>
      </c>
      <c r="B12" s="32" t="s">
        <v>169</v>
      </c>
      <c r="C12" s="32" t="s">
        <v>167</v>
      </c>
      <c r="D12" s="32" t="s">
        <v>207</v>
      </c>
      <c r="E12" s="32" t="s">
        <v>199</v>
      </c>
      <c r="F12" s="32" t="s">
        <v>210</v>
      </c>
      <c r="G12" s="48" t="s">
        <v>313</v>
      </c>
      <c r="H12" s="32" t="s">
        <v>210</v>
      </c>
      <c r="I12" s="35" t="s">
        <v>332</v>
      </c>
      <c r="J12" s="32" t="s">
        <v>325</v>
      </c>
      <c r="K12" s="32"/>
      <c r="L12" s="32"/>
      <c r="M12" s="29" t="s">
        <v>176</v>
      </c>
      <c r="N12" s="30" t="s">
        <v>183</v>
      </c>
      <c r="O12" s="34" t="s">
        <v>104</v>
      </c>
      <c r="P12" s="34" t="s">
        <v>167</v>
      </c>
      <c r="Q12" s="34" t="s">
        <v>159</v>
      </c>
      <c r="R12" s="34" t="s">
        <v>181</v>
      </c>
      <c r="S12" s="33"/>
      <c r="T12" s="34"/>
      <c r="U12" s="32"/>
      <c r="V12" s="31">
        <v>46174</v>
      </c>
      <c r="W12" s="31">
        <v>46174</v>
      </c>
      <c r="X12" s="62"/>
      <c r="Y12" s="62">
        <v>2</v>
      </c>
      <c r="Z12" s="62">
        <v>1</v>
      </c>
      <c r="AA12" s="62" t="s">
        <v>354</v>
      </c>
      <c r="AB12" s="62"/>
    </row>
    <row r="13" spans="1:28" s="28" customFormat="1" ht="30.75" customHeight="1" x14ac:dyDescent="0.3">
      <c r="A13" s="62">
        <v>11</v>
      </c>
      <c r="B13" s="32" t="s">
        <v>169</v>
      </c>
      <c r="C13" s="32" t="s">
        <v>167</v>
      </c>
      <c r="D13" s="32" t="s">
        <v>207</v>
      </c>
      <c r="E13" s="32" t="s">
        <v>211</v>
      </c>
      <c r="F13" s="32" t="s">
        <v>214</v>
      </c>
      <c r="G13" s="48" t="s">
        <v>314</v>
      </c>
      <c r="H13" s="32" t="s">
        <v>214</v>
      </c>
      <c r="I13" s="32" t="s">
        <v>334</v>
      </c>
      <c r="J13" s="32" t="s">
        <v>325</v>
      </c>
      <c r="K13" s="32"/>
      <c r="L13" s="32"/>
      <c r="M13" s="29" t="s">
        <v>176</v>
      </c>
      <c r="N13" s="30" t="s">
        <v>183</v>
      </c>
      <c r="O13" s="34" t="s">
        <v>104</v>
      </c>
      <c r="P13" s="34" t="s">
        <v>167</v>
      </c>
      <c r="Q13" s="34" t="s">
        <v>159</v>
      </c>
      <c r="R13" s="34" t="s">
        <v>181</v>
      </c>
      <c r="S13" s="32"/>
      <c r="T13" s="34"/>
      <c r="U13" s="32"/>
      <c r="V13" s="31">
        <v>46174</v>
      </c>
      <c r="W13" s="31">
        <v>46174</v>
      </c>
      <c r="X13" s="62"/>
      <c r="Y13" s="62">
        <v>0.1</v>
      </c>
      <c r="Z13" s="62">
        <v>0.01</v>
      </c>
      <c r="AA13" s="95" t="s">
        <v>355</v>
      </c>
      <c r="AB13" s="62"/>
    </row>
    <row r="14" spans="1:28" s="28" customFormat="1" ht="30.75" customHeight="1" x14ac:dyDescent="0.3">
      <c r="A14" s="62">
        <v>12</v>
      </c>
      <c r="B14" s="32" t="s">
        <v>169</v>
      </c>
      <c r="C14" s="32" t="s">
        <v>167</v>
      </c>
      <c r="D14" s="32" t="s">
        <v>207</v>
      </c>
      <c r="E14" s="32" t="s">
        <v>212</v>
      </c>
      <c r="F14" s="32" t="s">
        <v>213</v>
      </c>
      <c r="G14" s="48" t="s">
        <v>315</v>
      </c>
      <c r="H14" s="32" t="s">
        <v>213</v>
      </c>
      <c r="I14" s="32" t="s">
        <v>215</v>
      </c>
      <c r="J14" s="32" t="s">
        <v>325</v>
      </c>
      <c r="K14" s="32"/>
      <c r="L14" s="32"/>
      <c r="M14" s="29" t="s">
        <v>176</v>
      </c>
      <c r="N14" s="30" t="s">
        <v>183</v>
      </c>
      <c r="O14" s="34" t="s">
        <v>104</v>
      </c>
      <c r="P14" s="34" t="s">
        <v>167</v>
      </c>
      <c r="Q14" s="34" t="s">
        <v>159</v>
      </c>
      <c r="R14" s="34" t="s">
        <v>181</v>
      </c>
      <c r="S14" s="33"/>
      <c r="T14" s="34"/>
      <c r="U14" s="32"/>
      <c r="V14" s="31">
        <v>46174</v>
      </c>
      <c r="W14" s="31">
        <v>46174</v>
      </c>
      <c r="X14" s="62"/>
      <c r="Y14" s="62">
        <v>0.1</v>
      </c>
      <c r="Z14" s="62">
        <v>0.01</v>
      </c>
      <c r="AA14" s="95" t="s">
        <v>355</v>
      </c>
      <c r="AB14" s="62"/>
    </row>
    <row r="15" spans="1:28" s="28" customFormat="1" ht="30.75" customHeight="1" x14ac:dyDescent="0.3">
      <c r="A15" s="85">
        <v>13</v>
      </c>
      <c r="B15" s="86" t="s">
        <v>169</v>
      </c>
      <c r="C15" s="86" t="s">
        <v>167</v>
      </c>
      <c r="D15" s="86" t="s">
        <v>207</v>
      </c>
      <c r="E15" s="86" t="s">
        <v>212</v>
      </c>
      <c r="F15" s="86" t="s">
        <v>213</v>
      </c>
      <c r="G15" s="87" t="s">
        <v>316</v>
      </c>
      <c r="H15" s="86" t="s">
        <v>213</v>
      </c>
      <c r="I15" s="86" t="s">
        <v>215</v>
      </c>
      <c r="J15" s="86" t="s">
        <v>325</v>
      </c>
      <c r="K15" s="86"/>
      <c r="L15" s="86"/>
      <c r="M15" s="90" t="s">
        <v>176</v>
      </c>
      <c r="N15" s="91" t="s">
        <v>183</v>
      </c>
      <c r="O15" s="92" t="s">
        <v>104</v>
      </c>
      <c r="P15" s="92" t="s">
        <v>167</v>
      </c>
      <c r="Q15" s="92" t="s">
        <v>159</v>
      </c>
      <c r="R15" s="92" t="s">
        <v>181</v>
      </c>
      <c r="S15" s="89"/>
      <c r="T15" s="92"/>
      <c r="U15" s="86"/>
      <c r="V15" s="93">
        <v>46174</v>
      </c>
      <c r="W15" s="93">
        <v>46174</v>
      </c>
      <c r="X15" s="85"/>
      <c r="Y15" s="85">
        <v>0.1</v>
      </c>
      <c r="Z15" s="85"/>
      <c r="AA15" s="94" t="s">
        <v>346</v>
      </c>
      <c r="AB15" s="85"/>
    </row>
    <row r="16" spans="1:28" s="28" customFormat="1" ht="60" x14ac:dyDescent="0.3">
      <c r="A16" s="62">
        <v>14</v>
      </c>
      <c r="B16" s="32" t="s">
        <v>169</v>
      </c>
      <c r="C16" s="32" t="s">
        <v>167</v>
      </c>
      <c r="D16" s="32" t="s">
        <v>216</v>
      </c>
      <c r="E16" s="32" t="s">
        <v>199</v>
      </c>
      <c r="F16" s="32" t="s">
        <v>217</v>
      </c>
      <c r="G16" s="48" t="s">
        <v>317</v>
      </c>
      <c r="H16" s="32" t="s">
        <v>217</v>
      </c>
      <c r="I16" s="32" t="s">
        <v>220</v>
      </c>
      <c r="J16" s="32" t="s">
        <v>325</v>
      </c>
      <c r="K16" s="32"/>
      <c r="L16" s="32"/>
      <c r="M16" s="29" t="s">
        <v>176</v>
      </c>
      <c r="N16" s="30" t="s">
        <v>183</v>
      </c>
      <c r="O16" s="34" t="s">
        <v>182</v>
      </c>
      <c r="P16" s="34" t="s">
        <v>167</v>
      </c>
      <c r="Q16" s="34" t="s">
        <v>168</v>
      </c>
      <c r="R16" s="34" t="s">
        <v>181</v>
      </c>
      <c r="S16" s="32"/>
      <c r="T16" s="34"/>
      <c r="U16" s="32"/>
      <c r="V16" s="31">
        <v>46174</v>
      </c>
      <c r="W16" s="31">
        <v>46174</v>
      </c>
      <c r="X16" s="62"/>
      <c r="Y16" s="62">
        <v>1</v>
      </c>
      <c r="Z16" s="62">
        <v>1</v>
      </c>
      <c r="AA16" s="62" t="s">
        <v>352</v>
      </c>
      <c r="AB16" s="62"/>
    </row>
    <row r="17" spans="1:28" s="60" customFormat="1" ht="29.25" customHeight="1" x14ac:dyDescent="0.3">
      <c r="A17" s="62">
        <v>15</v>
      </c>
      <c r="B17" s="53" t="s">
        <v>169</v>
      </c>
      <c r="C17" s="53" t="s">
        <v>167</v>
      </c>
      <c r="D17" s="53" t="s">
        <v>289</v>
      </c>
      <c r="E17" s="53" t="s">
        <v>7</v>
      </c>
      <c r="F17" s="53" t="s">
        <v>7</v>
      </c>
      <c r="G17" s="54" t="s">
        <v>318</v>
      </c>
      <c r="H17" s="55" t="s">
        <v>291</v>
      </c>
      <c r="I17" s="53" t="s">
        <v>292</v>
      </c>
      <c r="J17" s="32" t="s">
        <v>325</v>
      </c>
      <c r="K17" s="53" t="s">
        <v>7</v>
      </c>
      <c r="L17" s="53" t="s">
        <v>7</v>
      </c>
      <c r="M17" s="56" t="s">
        <v>176</v>
      </c>
      <c r="N17" s="54" t="s">
        <v>293</v>
      </c>
      <c r="O17" s="57" t="s">
        <v>100</v>
      </c>
      <c r="P17" s="57" t="s">
        <v>167</v>
      </c>
      <c r="Q17" s="57" t="s">
        <v>168</v>
      </c>
      <c r="R17" s="57"/>
      <c r="S17" s="58"/>
      <c r="T17" s="57"/>
      <c r="U17" s="53"/>
      <c r="V17" s="59"/>
      <c r="W17" s="59"/>
      <c r="X17" s="64">
        <v>1</v>
      </c>
      <c r="Y17" s="71">
        <v>0.5</v>
      </c>
      <c r="Z17" s="71">
        <v>0.5</v>
      </c>
      <c r="AA17" s="70" t="s">
        <v>338</v>
      </c>
      <c r="AB17" s="64"/>
    </row>
    <row r="18" spans="1:28" s="60" customFormat="1" ht="45.75" customHeight="1" x14ac:dyDescent="0.3">
      <c r="A18" s="62">
        <v>16</v>
      </c>
      <c r="B18" s="53" t="s">
        <v>169</v>
      </c>
      <c r="C18" s="53" t="s">
        <v>167</v>
      </c>
      <c r="D18" s="53" t="s">
        <v>294</v>
      </c>
      <c r="E18" s="53" t="s">
        <v>7</v>
      </c>
      <c r="F18" s="53" t="s">
        <v>7</v>
      </c>
      <c r="G18" s="54" t="s">
        <v>319</v>
      </c>
      <c r="H18" s="55" t="s">
        <v>294</v>
      </c>
      <c r="I18" s="58" t="s">
        <v>296</v>
      </c>
      <c r="J18" s="32" t="s">
        <v>325</v>
      </c>
      <c r="K18" s="53" t="s">
        <v>7</v>
      </c>
      <c r="L18" s="53" t="s">
        <v>7</v>
      </c>
      <c r="M18" s="56" t="s">
        <v>176</v>
      </c>
      <c r="N18" s="54" t="s">
        <v>293</v>
      </c>
      <c r="O18" s="57" t="s">
        <v>100</v>
      </c>
      <c r="P18" s="57" t="s">
        <v>167</v>
      </c>
      <c r="Q18" s="57" t="s">
        <v>168</v>
      </c>
      <c r="R18" s="57"/>
      <c r="S18" s="58"/>
      <c r="T18" s="57"/>
      <c r="U18" s="53"/>
      <c r="V18" s="59"/>
      <c r="W18" s="59"/>
      <c r="X18" s="64">
        <v>0.5</v>
      </c>
      <c r="Y18" s="67">
        <v>0.5</v>
      </c>
      <c r="Z18" s="67">
        <v>0.5</v>
      </c>
      <c r="AA18" s="69" t="s">
        <v>337</v>
      </c>
      <c r="AB18" s="64"/>
    </row>
    <row r="19" spans="1:28" s="60" customFormat="1" ht="106.5" customHeight="1" x14ac:dyDescent="0.3">
      <c r="A19" s="62">
        <v>17</v>
      </c>
      <c r="B19" s="53" t="s">
        <v>169</v>
      </c>
      <c r="C19" s="53" t="s">
        <v>167</v>
      </c>
      <c r="D19" s="53" t="s">
        <v>297</v>
      </c>
      <c r="E19" s="53" t="s">
        <v>7</v>
      </c>
      <c r="F19" s="53" t="s">
        <v>7</v>
      </c>
      <c r="G19" s="54" t="s">
        <v>320</v>
      </c>
      <c r="H19" s="55" t="s">
        <v>299</v>
      </c>
      <c r="I19" s="55" t="s">
        <v>300</v>
      </c>
      <c r="J19" s="32" t="s">
        <v>325</v>
      </c>
      <c r="K19" s="53" t="s">
        <v>7</v>
      </c>
      <c r="L19" s="53" t="s">
        <v>7</v>
      </c>
      <c r="M19" s="56" t="s">
        <v>176</v>
      </c>
      <c r="N19" s="54" t="s">
        <v>293</v>
      </c>
      <c r="O19" s="57" t="s">
        <v>100</v>
      </c>
      <c r="P19" s="57" t="s">
        <v>167</v>
      </c>
      <c r="Q19" s="57" t="s">
        <v>168</v>
      </c>
      <c r="R19" s="57"/>
      <c r="S19" s="58"/>
      <c r="T19" s="57"/>
      <c r="U19" s="53"/>
      <c r="V19" s="59"/>
      <c r="W19" s="59"/>
      <c r="X19" s="64">
        <v>3</v>
      </c>
      <c r="Y19" s="68">
        <v>2</v>
      </c>
      <c r="Z19" s="68">
        <v>2</v>
      </c>
      <c r="AA19" s="64" t="s">
        <v>329</v>
      </c>
      <c r="AB19" s="64"/>
    </row>
    <row r="20" spans="1:28" s="60" customFormat="1" ht="113.25" customHeight="1" x14ac:dyDescent="0.3">
      <c r="A20" s="62">
        <v>18</v>
      </c>
      <c r="B20" s="53" t="s">
        <v>169</v>
      </c>
      <c r="C20" s="53" t="s">
        <v>167</v>
      </c>
      <c r="D20" s="53" t="s">
        <v>301</v>
      </c>
      <c r="E20" s="53" t="s">
        <v>302</v>
      </c>
      <c r="F20" s="53" t="s">
        <v>7</v>
      </c>
      <c r="G20" s="54" t="s">
        <v>321</v>
      </c>
      <c r="H20" s="55" t="s">
        <v>304</v>
      </c>
      <c r="I20" s="61" t="s">
        <v>333</v>
      </c>
      <c r="J20" s="32" t="s">
        <v>325</v>
      </c>
      <c r="K20" s="53" t="s">
        <v>7</v>
      </c>
      <c r="L20" s="53" t="s">
        <v>7</v>
      </c>
      <c r="M20" s="56" t="s">
        <v>176</v>
      </c>
      <c r="N20" s="54" t="s">
        <v>293</v>
      </c>
      <c r="O20" s="57" t="s">
        <v>100</v>
      </c>
      <c r="P20" s="57" t="s">
        <v>167</v>
      </c>
      <c r="Q20" s="57" t="s">
        <v>168</v>
      </c>
      <c r="R20" s="57"/>
      <c r="S20" s="58"/>
      <c r="T20" s="57"/>
      <c r="U20" s="53"/>
      <c r="V20" s="59"/>
      <c r="W20" s="59"/>
      <c r="X20" s="64">
        <v>1</v>
      </c>
      <c r="Y20" s="67">
        <v>1</v>
      </c>
      <c r="Z20" s="67">
        <v>1</v>
      </c>
      <c r="AA20" s="64" t="s">
        <v>335</v>
      </c>
      <c r="AB20" s="64"/>
    </row>
    <row r="21" spans="1:28" s="60" customFormat="1" ht="135.75" customHeight="1" x14ac:dyDescent="0.3">
      <c r="A21" s="62">
        <v>19</v>
      </c>
      <c r="B21" s="53" t="s">
        <v>169</v>
      </c>
      <c r="C21" s="53" t="s">
        <v>167</v>
      </c>
      <c r="D21" s="53" t="s">
        <v>305</v>
      </c>
      <c r="E21" s="53" t="s">
        <v>7</v>
      </c>
      <c r="F21" s="53" t="s">
        <v>7</v>
      </c>
      <c r="G21" s="54" t="s">
        <v>322</v>
      </c>
      <c r="H21" s="55" t="s">
        <v>307</v>
      </c>
      <c r="I21" s="61" t="s">
        <v>339</v>
      </c>
      <c r="J21" s="32" t="s">
        <v>325</v>
      </c>
      <c r="K21" s="53" t="s">
        <v>7</v>
      </c>
      <c r="L21" s="53" t="s">
        <v>7</v>
      </c>
      <c r="M21" s="56" t="s">
        <v>176</v>
      </c>
      <c r="N21" s="54" t="s">
        <v>293</v>
      </c>
      <c r="O21" s="57" t="s">
        <v>100</v>
      </c>
      <c r="P21" s="57" t="s">
        <v>167</v>
      </c>
      <c r="Q21" s="57" t="s">
        <v>168</v>
      </c>
      <c r="R21" s="57"/>
      <c r="S21" s="58"/>
      <c r="T21" s="57"/>
      <c r="U21" s="53"/>
      <c r="V21" s="59"/>
      <c r="W21" s="59"/>
      <c r="X21" s="65">
        <v>1.5</v>
      </c>
      <c r="Y21" s="67">
        <v>1.5</v>
      </c>
      <c r="Z21" s="67">
        <v>1.5</v>
      </c>
      <c r="AA21" s="64" t="s">
        <v>330</v>
      </c>
      <c r="AB21" s="64"/>
    </row>
    <row r="22" spans="1:28" s="60" customFormat="1" ht="82.5" customHeight="1" x14ac:dyDescent="0.3">
      <c r="A22" s="62">
        <v>20</v>
      </c>
      <c r="B22" s="53" t="s">
        <v>169</v>
      </c>
      <c r="C22" s="53" t="s">
        <v>167</v>
      </c>
      <c r="D22" s="53" t="s">
        <v>308</v>
      </c>
      <c r="E22" s="53" t="s">
        <v>7</v>
      </c>
      <c r="F22" s="53" t="s">
        <v>7</v>
      </c>
      <c r="G22" s="54" t="s">
        <v>323</v>
      </c>
      <c r="H22" s="55" t="s">
        <v>308</v>
      </c>
      <c r="I22" s="58" t="s">
        <v>340</v>
      </c>
      <c r="J22" s="32" t="s">
        <v>325</v>
      </c>
      <c r="K22" s="53" t="s">
        <v>7</v>
      </c>
      <c r="L22" s="53" t="s">
        <v>7</v>
      </c>
      <c r="M22" s="56" t="s">
        <v>176</v>
      </c>
      <c r="N22" s="54" t="s">
        <v>293</v>
      </c>
      <c r="O22" s="57" t="s">
        <v>100</v>
      </c>
      <c r="P22" s="57" t="s">
        <v>167</v>
      </c>
      <c r="Q22" s="57" t="s">
        <v>168</v>
      </c>
      <c r="R22" s="57"/>
      <c r="S22" s="53"/>
      <c r="T22" s="57"/>
      <c r="U22" s="53"/>
      <c r="V22" s="59"/>
      <c r="W22" s="59"/>
      <c r="X22" s="64">
        <v>1</v>
      </c>
      <c r="Y22" s="67">
        <v>1</v>
      </c>
      <c r="Z22" s="67">
        <v>0.05</v>
      </c>
      <c r="AA22" s="55" t="s">
        <v>356</v>
      </c>
      <c r="AB22" s="64"/>
    </row>
    <row r="24" spans="1:28" x14ac:dyDescent="0.3">
      <c r="Y24" s="25">
        <f>SUM(Y3:Y23)</f>
        <v>14.799999999999999</v>
      </c>
      <c r="Z24" s="25">
        <f>SUM(Z3:Z23)</f>
        <v>10.57</v>
      </c>
    </row>
  </sheetData>
  <mergeCells count="26">
    <mergeCell ref="A1:A2"/>
    <mergeCell ref="Z1:Z2"/>
    <mergeCell ref="AB1:AB2"/>
    <mergeCell ref="V1:V2"/>
    <mergeCell ref="W1:W2"/>
    <mergeCell ref="Q1:Q2"/>
    <mergeCell ref="R1:R2"/>
    <mergeCell ref="S1:S2"/>
    <mergeCell ref="Y1:Y2"/>
    <mergeCell ref="AA1:AA2"/>
    <mergeCell ref="X1:X2"/>
    <mergeCell ref="T1:U1"/>
    <mergeCell ref="O1:O2"/>
    <mergeCell ref="P1:P2"/>
    <mergeCell ref="M1:N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60" type="noConversion"/>
  <dataValidations count="5">
    <dataValidation type="list" allowBlank="1" showInputMessage="1" showErrorMessage="1" sqref="R3:R22">
      <formula1>"진행,수용,기각,이관"</formula1>
    </dataValidation>
    <dataValidation type="list" allowBlank="1" showInputMessage="1" showErrorMessage="1" sqref="Q3:Q22">
      <formula1>"개선,신규"</formula1>
    </dataValidation>
    <dataValidation type="list" allowBlank="1" showInputMessage="1" showErrorMessage="1" sqref="P3:P22">
      <formula1>"기능,비기능"</formula1>
    </dataValidation>
    <dataValidation type="list" allowBlank="1" showInputMessage="1" showErrorMessage="1" sqref="O3:O22">
      <formula1>"상,중,하"</formula1>
    </dataValidation>
    <dataValidation type="list" allowBlank="1" showInputMessage="1" showErrorMessage="1" sqref="T3:T22">
      <formula1>"추가,수정,삭제,이관삭제"</formula1>
    </dataValidation>
  </dataValidations>
  <pageMargins left="0.39370078740157483" right="0.39370078740157483" top="0.39370078740157483" bottom="0.39370078740157483" header="0" footer="0"/>
  <pageSetup paperSize="9" scale="79" fitToHeight="0" orientation="landscape" verticalDpi="4294967295" r:id="rId1"/>
  <headerFooter>
    <oddHeader>&amp;L&amp;"한컴바탕,굵게"&amp;10범농협 통합전자구매&amp;R&amp;"한컴바탕,굵게"&amp;10요구사항정의서</oddHeader>
    <oddFooter>&amp;C&amp;"돋움,Regular"&amp;10-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2:T86"/>
  <sheetViews>
    <sheetView zoomScale="70" zoomScaleNormal="70" workbookViewId="0">
      <selection activeCell="E132" sqref="E132"/>
    </sheetView>
  </sheetViews>
  <sheetFormatPr defaultRowHeight="16.5" x14ac:dyDescent="0.3"/>
  <cols>
    <col min="1" max="19" width="9" style="50"/>
    <col min="20" max="20" width="26.75" style="50" customWidth="1"/>
    <col min="21" max="16384" width="9" style="50"/>
  </cols>
  <sheetData>
    <row r="2" spans="18:20" x14ac:dyDescent="0.3">
      <c r="R2" s="52" t="s">
        <v>268</v>
      </c>
      <c r="S2" s="52" t="s">
        <v>267</v>
      </c>
      <c r="T2" s="52" t="s">
        <v>266</v>
      </c>
    </row>
    <row r="3" spans="18:20" x14ac:dyDescent="0.3">
      <c r="R3" s="51" t="s">
        <v>227</v>
      </c>
      <c r="S3" s="51" t="s">
        <v>264</v>
      </c>
      <c r="T3" s="51" t="s">
        <v>288</v>
      </c>
    </row>
    <row r="4" spans="18:20" x14ac:dyDescent="0.3">
      <c r="R4" s="51"/>
      <c r="S4" s="51"/>
      <c r="T4" s="51" t="s">
        <v>287</v>
      </c>
    </row>
    <row r="5" spans="18:20" x14ac:dyDescent="0.3">
      <c r="R5" s="51"/>
      <c r="S5" s="51"/>
      <c r="T5" s="51" t="s">
        <v>257</v>
      </c>
    </row>
    <row r="6" spans="18:20" x14ac:dyDescent="0.3">
      <c r="R6" s="51"/>
      <c r="S6" s="51"/>
      <c r="T6" s="51" t="s">
        <v>286</v>
      </c>
    </row>
    <row r="7" spans="18:20" x14ac:dyDescent="0.3">
      <c r="R7" s="51"/>
      <c r="S7" s="51"/>
      <c r="T7" s="51" t="s">
        <v>246</v>
      </c>
    </row>
    <row r="8" spans="18:20" x14ac:dyDescent="0.3">
      <c r="R8" s="51"/>
      <c r="S8" s="51"/>
      <c r="T8" s="51" t="s">
        <v>245</v>
      </c>
    </row>
    <row r="9" spans="18:20" x14ac:dyDescent="0.3">
      <c r="R9" s="51"/>
      <c r="S9" s="51"/>
      <c r="T9" s="51" t="s">
        <v>244</v>
      </c>
    </row>
    <row r="10" spans="18:20" x14ac:dyDescent="0.3">
      <c r="R10" s="51"/>
      <c r="S10" s="51"/>
      <c r="T10" s="51" t="s">
        <v>243</v>
      </c>
    </row>
    <row r="11" spans="18:20" x14ac:dyDescent="0.3">
      <c r="R11" s="51"/>
      <c r="S11" s="51"/>
      <c r="T11" s="51" t="s">
        <v>285</v>
      </c>
    </row>
    <row r="12" spans="18:20" x14ac:dyDescent="0.3">
      <c r="R12" s="51"/>
      <c r="S12" s="51"/>
      <c r="T12" s="51" t="s">
        <v>284</v>
      </c>
    </row>
    <row r="13" spans="18:20" x14ac:dyDescent="0.3">
      <c r="R13" s="51"/>
      <c r="S13" s="51"/>
      <c r="T13" s="51" t="s">
        <v>253</v>
      </c>
    </row>
    <row r="14" spans="18:20" x14ac:dyDescent="0.3">
      <c r="R14" s="51"/>
      <c r="S14" s="51"/>
      <c r="T14" s="51" t="s">
        <v>252</v>
      </c>
    </row>
    <row r="15" spans="18:20" x14ac:dyDescent="0.3">
      <c r="R15" s="51"/>
      <c r="S15" s="51"/>
      <c r="T15" s="51" t="s">
        <v>283</v>
      </c>
    </row>
    <row r="16" spans="18:20" x14ac:dyDescent="0.3">
      <c r="R16" s="51"/>
      <c r="S16" s="51"/>
      <c r="T16" s="51" t="s">
        <v>282</v>
      </c>
    </row>
    <row r="17" spans="18:20" x14ac:dyDescent="0.3">
      <c r="R17" s="51"/>
      <c r="S17" s="51"/>
      <c r="T17" s="51" t="s">
        <v>242</v>
      </c>
    </row>
    <row r="18" spans="18:20" x14ac:dyDescent="0.3">
      <c r="R18" s="51"/>
      <c r="S18" s="51"/>
      <c r="T18" s="51" t="s">
        <v>241</v>
      </c>
    </row>
    <row r="19" spans="18:20" x14ac:dyDescent="0.3">
      <c r="R19" s="51"/>
      <c r="S19" s="51"/>
      <c r="T19" s="51" t="s">
        <v>240</v>
      </c>
    </row>
    <row r="20" spans="18:20" x14ac:dyDescent="0.3">
      <c r="R20" s="51"/>
      <c r="S20" s="51"/>
      <c r="T20" s="51" t="s">
        <v>281</v>
      </c>
    </row>
    <row r="21" spans="18:20" x14ac:dyDescent="0.3">
      <c r="R21" s="51"/>
      <c r="S21" s="51"/>
      <c r="T21" s="51" t="s">
        <v>280</v>
      </c>
    </row>
    <row r="22" spans="18:20" x14ac:dyDescent="0.3">
      <c r="R22" s="51"/>
      <c r="S22" s="51"/>
      <c r="T22" s="51" t="s">
        <v>279</v>
      </c>
    </row>
    <row r="23" spans="18:20" x14ac:dyDescent="0.3">
      <c r="R23" s="51"/>
      <c r="S23" s="51"/>
      <c r="T23" s="51" t="s">
        <v>278</v>
      </c>
    </row>
    <row r="24" spans="18:20" x14ac:dyDescent="0.3">
      <c r="R24" s="51"/>
      <c r="S24" s="51"/>
      <c r="T24" s="51" t="s">
        <v>277</v>
      </c>
    </row>
    <row r="25" spans="18:20" x14ac:dyDescent="0.3">
      <c r="R25" s="51"/>
      <c r="S25" s="51"/>
      <c r="T25" s="51" t="s">
        <v>236</v>
      </c>
    </row>
    <row r="26" spans="18:20" x14ac:dyDescent="0.3">
      <c r="R26" s="51"/>
      <c r="S26" s="51"/>
      <c r="T26" s="51" t="s">
        <v>235</v>
      </c>
    </row>
    <row r="27" spans="18:20" x14ac:dyDescent="0.3">
      <c r="R27" s="51"/>
      <c r="S27" s="51"/>
      <c r="T27" s="51" t="s">
        <v>234</v>
      </c>
    </row>
    <row r="28" spans="18:20" x14ac:dyDescent="0.3">
      <c r="R28" s="51"/>
      <c r="S28" s="51"/>
      <c r="T28" s="51" t="s">
        <v>233</v>
      </c>
    </row>
    <row r="29" spans="18:20" x14ac:dyDescent="0.3">
      <c r="R29" s="51"/>
      <c r="S29" s="51"/>
      <c r="T29" s="51" t="s">
        <v>232</v>
      </c>
    </row>
    <row r="30" spans="18:20" x14ac:dyDescent="0.3">
      <c r="R30" s="51"/>
      <c r="S30" s="51"/>
      <c r="T30" s="51" t="s">
        <v>231</v>
      </c>
    </row>
    <row r="31" spans="18:20" x14ac:dyDescent="0.3">
      <c r="R31" s="51"/>
      <c r="S31" s="51"/>
      <c r="T31" s="51" t="s">
        <v>230</v>
      </c>
    </row>
    <row r="32" spans="18:20" x14ac:dyDescent="0.3">
      <c r="R32" s="51"/>
      <c r="S32" s="51"/>
      <c r="T32" s="51" t="s">
        <v>229</v>
      </c>
    </row>
    <row r="33" spans="18:20" x14ac:dyDescent="0.3">
      <c r="R33" s="51"/>
      <c r="S33" s="51"/>
      <c r="T33" s="51" t="s">
        <v>276</v>
      </c>
    </row>
    <row r="34" spans="18:20" x14ac:dyDescent="0.3">
      <c r="R34" s="51"/>
      <c r="S34" s="51"/>
      <c r="T34" s="51" t="s">
        <v>275</v>
      </c>
    </row>
    <row r="35" spans="18:20" x14ac:dyDescent="0.3">
      <c r="R35" s="51" t="s">
        <v>227</v>
      </c>
      <c r="S35" s="51" t="s">
        <v>274</v>
      </c>
      <c r="T35" s="51" t="s">
        <v>273</v>
      </c>
    </row>
    <row r="36" spans="18:20" x14ac:dyDescent="0.3">
      <c r="R36" s="51"/>
      <c r="S36" s="51"/>
      <c r="T36" s="51" t="s">
        <v>272</v>
      </c>
    </row>
    <row r="37" spans="18:20" x14ac:dyDescent="0.3">
      <c r="R37" s="51"/>
      <c r="S37" s="51"/>
      <c r="T37" s="51" t="s">
        <v>271</v>
      </c>
    </row>
    <row r="38" spans="18:20" x14ac:dyDescent="0.3">
      <c r="R38" s="51"/>
      <c r="S38" s="51"/>
      <c r="T38" s="51" t="s">
        <v>270</v>
      </c>
    </row>
    <row r="39" spans="18:20" x14ac:dyDescent="0.3">
      <c r="R39" s="51"/>
      <c r="S39" s="51"/>
      <c r="T39" s="51" t="s">
        <v>269</v>
      </c>
    </row>
    <row r="45" spans="18:20" x14ac:dyDescent="0.3">
      <c r="R45" s="52" t="s">
        <v>268</v>
      </c>
      <c r="S45" s="52" t="s">
        <v>267</v>
      </c>
      <c r="T45" s="52" t="s">
        <v>266</v>
      </c>
    </row>
    <row r="46" spans="18:20" x14ac:dyDescent="0.3">
      <c r="R46" s="51" t="s">
        <v>265</v>
      </c>
      <c r="S46" s="51" t="s">
        <v>264</v>
      </c>
      <c r="T46" s="51" t="s">
        <v>263</v>
      </c>
    </row>
    <row r="47" spans="18:20" x14ac:dyDescent="0.3">
      <c r="R47" s="51"/>
      <c r="S47" s="51"/>
      <c r="T47" s="51" t="s">
        <v>262</v>
      </c>
    </row>
    <row r="48" spans="18:20" x14ac:dyDescent="0.3">
      <c r="R48" s="51"/>
      <c r="S48" s="51"/>
      <c r="T48" s="51" t="s">
        <v>261</v>
      </c>
    </row>
    <row r="49" spans="18:20" x14ac:dyDescent="0.3">
      <c r="R49" s="51"/>
      <c r="S49" s="51"/>
      <c r="T49" s="51" t="s">
        <v>260</v>
      </c>
    </row>
    <row r="50" spans="18:20" x14ac:dyDescent="0.3">
      <c r="R50" s="51"/>
      <c r="S50" s="51"/>
      <c r="T50" s="51" t="s">
        <v>259</v>
      </c>
    </row>
    <row r="51" spans="18:20" x14ac:dyDescent="0.3">
      <c r="R51" s="51"/>
      <c r="S51" s="51"/>
      <c r="T51" s="51" t="s">
        <v>258</v>
      </c>
    </row>
    <row r="52" spans="18:20" x14ac:dyDescent="0.3">
      <c r="R52" s="51"/>
      <c r="S52" s="51"/>
      <c r="T52" s="51" t="s">
        <v>257</v>
      </c>
    </row>
    <row r="53" spans="18:20" x14ac:dyDescent="0.3">
      <c r="R53" s="51"/>
      <c r="S53" s="51"/>
      <c r="T53" s="51" t="s">
        <v>256</v>
      </c>
    </row>
    <row r="54" spans="18:20" x14ac:dyDescent="0.3">
      <c r="R54" s="51"/>
      <c r="S54" s="51"/>
      <c r="T54" s="51" t="s">
        <v>255</v>
      </c>
    </row>
    <row r="55" spans="18:20" x14ac:dyDescent="0.3">
      <c r="R55" s="51"/>
      <c r="S55" s="51"/>
      <c r="T55" s="51" t="s">
        <v>254</v>
      </c>
    </row>
    <row r="56" spans="18:20" x14ac:dyDescent="0.3">
      <c r="R56" s="51"/>
      <c r="S56" s="51"/>
      <c r="T56" s="51" t="s">
        <v>253</v>
      </c>
    </row>
    <row r="57" spans="18:20" x14ac:dyDescent="0.3">
      <c r="R57" s="51"/>
      <c r="S57" s="51"/>
      <c r="T57" s="51" t="s">
        <v>252</v>
      </c>
    </row>
    <row r="58" spans="18:20" x14ac:dyDescent="0.3">
      <c r="R58" s="51"/>
      <c r="S58" s="51"/>
      <c r="T58" s="51" t="s">
        <v>251</v>
      </c>
    </row>
    <row r="59" spans="18:20" x14ac:dyDescent="0.3">
      <c r="R59" s="51"/>
      <c r="S59" s="51"/>
      <c r="T59" s="51" t="s">
        <v>250</v>
      </c>
    </row>
    <row r="60" spans="18:20" x14ac:dyDescent="0.3">
      <c r="R60" s="51"/>
      <c r="S60" s="51"/>
      <c r="T60" s="51" t="s">
        <v>249</v>
      </c>
    </row>
    <row r="61" spans="18:20" x14ac:dyDescent="0.3">
      <c r="R61" s="51"/>
      <c r="S61" s="51"/>
      <c r="T61" s="51" t="s">
        <v>248</v>
      </c>
    </row>
    <row r="62" spans="18:20" x14ac:dyDescent="0.3">
      <c r="R62" s="51"/>
      <c r="S62" s="51"/>
      <c r="T62" s="51" t="s">
        <v>247</v>
      </c>
    </row>
    <row r="63" spans="18:20" x14ac:dyDescent="0.3">
      <c r="R63" s="51"/>
      <c r="S63" s="51"/>
      <c r="T63" s="51" t="s">
        <v>246</v>
      </c>
    </row>
    <row r="64" spans="18:20" x14ac:dyDescent="0.3">
      <c r="R64" s="51"/>
      <c r="S64" s="51"/>
      <c r="T64" s="51" t="s">
        <v>245</v>
      </c>
    </row>
    <row r="65" spans="18:20" x14ac:dyDescent="0.3">
      <c r="R65" s="51"/>
      <c r="S65" s="51"/>
      <c r="T65" s="51" t="s">
        <v>244</v>
      </c>
    </row>
    <row r="66" spans="18:20" x14ac:dyDescent="0.3">
      <c r="R66" s="51"/>
      <c r="S66" s="51"/>
      <c r="T66" s="51" t="s">
        <v>243</v>
      </c>
    </row>
    <row r="67" spans="18:20" x14ac:dyDescent="0.3">
      <c r="R67" s="51"/>
      <c r="S67" s="51"/>
      <c r="T67" s="51" t="s">
        <v>242</v>
      </c>
    </row>
    <row r="68" spans="18:20" x14ac:dyDescent="0.3">
      <c r="R68" s="51"/>
      <c r="S68" s="51"/>
      <c r="T68" s="51" t="s">
        <v>241</v>
      </c>
    </row>
    <row r="69" spans="18:20" x14ac:dyDescent="0.3">
      <c r="R69" s="51"/>
      <c r="S69" s="51"/>
      <c r="T69" s="51" t="s">
        <v>240</v>
      </c>
    </row>
    <row r="70" spans="18:20" x14ac:dyDescent="0.3">
      <c r="R70" s="51"/>
      <c r="S70" s="51"/>
      <c r="T70" s="51" t="s">
        <v>239</v>
      </c>
    </row>
    <row r="71" spans="18:20" x14ac:dyDescent="0.3">
      <c r="R71" s="51"/>
      <c r="S71" s="51"/>
      <c r="T71" s="51" t="s">
        <v>238</v>
      </c>
    </row>
    <row r="72" spans="18:20" x14ac:dyDescent="0.3">
      <c r="R72" s="51"/>
      <c r="S72" s="51"/>
      <c r="T72" s="51" t="s">
        <v>237</v>
      </c>
    </row>
    <row r="73" spans="18:20" x14ac:dyDescent="0.3">
      <c r="R73" s="51"/>
      <c r="S73" s="51"/>
      <c r="T73" s="51" t="s">
        <v>236</v>
      </c>
    </row>
    <row r="74" spans="18:20" x14ac:dyDescent="0.3">
      <c r="R74" s="51"/>
      <c r="S74" s="51"/>
      <c r="T74" s="51" t="s">
        <v>235</v>
      </c>
    </row>
    <row r="75" spans="18:20" x14ac:dyDescent="0.3">
      <c r="R75" s="51"/>
      <c r="S75" s="51"/>
      <c r="T75" s="51" t="s">
        <v>234</v>
      </c>
    </row>
    <row r="76" spans="18:20" x14ac:dyDescent="0.3">
      <c r="R76" s="51"/>
      <c r="S76" s="51"/>
      <c r="T76" s="51" t="s">
        <v>233</v>
      </c>
    </row>
    <row r="77" spans="18:20" x14ac:dyDescent="0.3">
      <c r="R77" s="51"/>
      <c r="S77" s="51"/>
      <c r="T77" s="51" t="s">
        <v>232</v>
      </c>
    </row>
    <row r="78" spans="18:20" x14ac:dyDescent="0.3">
      <c r="R78" s="51"/>
      <c r="S78" s="51"/>
      <c r="T78" s="51" t="s">
        <v>231</v>
      </c>
    </row>
    <row r="79" spans="18:20" x14ac:dyDescent="0.3">
      <c r="R79" s="51"/>
      <c r="S79" s="51"/>
      <c r="T79" s="51" t="s">
        <v>230</v>
      </c>
    </row>
    <row r="80" spans="18:20" x14ac:dyDescent="0.3">
      <c r="R80" s="51"/>
      <c r="S80" s="51"/>
      <c r="T80" s="51" t="s">
        <v>229</v>
      </c>
    </row>
    <row r="81" spans="18:20" x14ac:dyDescent="0.3">
      <c r="R81" s="51"/>
      <c r="S81" s="51"/>
      <c r="T81" s="51" t="s">
        <v>228</v>
      </c>
    </row>
    <row r="82" spans="18:20" x14ac:dyDescent="0.3">
      <c r="R82" s="51" t="s">
        <v>227</v>
      </c>
      <c r="S82" s="51" t="s">
        <v>226</v>
      </c>
      <c r="T82" s="51" t="s">
        <v>225</v>
      </c>
    </row>
    <row r="83" spans="18:20" x14ac:dyDescent="0.3">
      <c r="R83" s="51"/>
      <c r="S83" s="51"/>
      <c r="T83" s="51" t="s">
        <v>224</v>
      </c>
    </row>
    <row r="84" spans="18:20" x14ac:dyDescent="0.3">
      <c r="R84" s="51"/>
      <c r="S84" s="51"/>
      <c r="T84" s="51" t="s">
        <v>223</v>
      </c>
    </row>
    <row r="85" spans="18:20" x14ac:dyDescent="0.3">
      <c r="R85" s="51"/>
      <c r="S85" s="51"/>
      <c r="T85" s="51" t="s">
        <v>222</v>
      </c>
    </row>
    <row r="86" spans="18:20" x14ac:dyDescent="0.3">
      <c r="R86" s="51"/>
      <c r="S86" s="51"/>
      <c r="T86" s="51" t="s">
        <v>221</v>
      </c>
    </row>
  </sheetData>
  <phoneticPr fontId="6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6"/>
  <sheetViews>
    <sheetView showGridLines="0" zoomScaleNormal="100" workbookViewId="0">
      <selection activeCell="C5" sqref="C5"/>
    </sheetView>
  </sheetViews>
  <sheetFormatPr defaultColWidth="9" defaultRowHeight="16.5" x14ac:dyDescent="0.3"/>
  <cols>
    <col min="1" max="1" width="16" style="5" customWidth="1"/>
    <col min="2" max="2" width="9" style="5"/>
    <col min="3" max="3" width="86" style="5" customWidth="1"/>
    <col min="4" max="4" width="34.875" style="5" customWidth="1"/>
    <col min="5" max="5" width="9" style="3"/>
    <col min="6" max="10" width="9" style="1"/>
    <col min="11" max="12" width="9" style="4"/>
    <col min="13" max="16384" width="9" style="1"/>
  </cols>
  <sheetData>
    <row r="1" spans="1:12" ht="20.25" x14ac:dyDescent="0.3">
      <c r="A1" s="79" t="s">
        <v>147</v>
      </c>
      <c r="B1" s="79"/>
      <c r="C1" s="79"/>
      <c r="D1" s="79"/>
      <c r="E1" s="79"/>
    </row>
    <row r="2" spans="1:12" s="6" customFormat="1" ht="13.5" customHeight="1" x14ac:dyDescent="0.3">
      <c r="A2" s="12"/>
      <c r="B2" s="12"/>
      <c r="C2" s="12"/>
      <c r="D2" s="12"/>
      <c r="E2" s="12"/>
      <c r="K2" s="4"/>
      <c r="L2" s="4"/>
    </row>
    <row r="3" spans="1:12" ht="15.95" customHeight="1" x14ac:dyDescent="0.3">
      <c r="A3" s="13" t="s">
        <v>103</v>
      </c>
      <c r="B3" s="11" t="s">
        <v>165</v>
      </c>
      <c r="C3" s="11" t="s">
        <v>146</v>
      </c>
      <c r="D3" s="11" t="s">
        <v>97</v>
      </c>
      <c r="E3" s="11" t="s">
        <v>163</v>
      </c>
    </row>
    <row r="4" spans="1:12" ht="13.5" customHeight="1" x14ac:dyDescent="0.3">
      <c r="A4" s="11" t="s">
        <v>150</v>
      </c>
      <c r="B4" s="9" t="s">
        <v>162</v>
      </c>
      <c r="C4" s="8" t="s">
        <v>164</v>
      </c>
      <c r="D4" s="7"/>
      <c r="E4" s="18"/>
    </row>
    <row r="5" spans="1:12" s="6" customFormat="1" ht="39" customHeight="1" x14ac:dyDescent="0.3">
      <c r="A5" s="11" t="s">
        <v>173</v>
      </c>
      <c r="B5" s="9" t="s">
        <v>174</v>
      </c>
      <c r="C5" s="19" t="s">
        <v>175</v>
      </c>
      <c r="D5" s="18"/>
      <c r="E5" s="18"/>
      <c r="K5" s="4"/>
      <c r="L5" s="4"/>
    </row>
    <row r="6" spans="1:12" ht="13.5" x14ac:dyDescent="0.3">
      <c r="A6" s="11" t="s">
        <v>148</v>
      </c>
      <c r="B6" s="9" t="s">
        <v>162</v>
      </c>
      <c r="C6" s="8" t="s">
        <v>149</v>
      </c>
      <c r="D6" s="7"/>
      <c r="E6" s="18"/>
    </row>
    <row r="7" spans="1:12" ht="27" x14ac:dyDescent="0.3">
      <c r="A7" s="11" t="s">
        <v>145</v>
      </c>
      <c r="B7" s="9" t="s">
        <v>161</v>
      </c>
      <c r="C7" s="8" t="s">
        <v>0</v>
      </c>
      <c r="D7" s="7"/>
      <c r="E7" s="18"/>
    </row>
    <row r="8" spans="1:12" ht="27" x14ac:dyDescent="0.3">
      <c r="A8" s="11" t="s">
        <v>128</v>
      </c>
      <c r="B8" s="9" t="s">
        <v>161</v>
      </c>
      <c r="C8" s="10" t="s">
        <v>151</v>
      </c>
      <c r="D8" s="7"/>
      <c r="E8" s="18"/>
    </row>
    <row r="9" spans="1:12" s="6" customFormat="1" ht="108" x14ac:dyDescent="0.3">
      <c r="A9" s="11" t="s">
        <v>113</v>
      </c>
      <c r="B9" s="9" t="s">
        <v>162</v>
      </c>
      <c r="C9" s="10" t="s">
        <v>166</v>
      </c>
      <c r="D9" s="7"/>
      <c r="E9" s="18"/>
      <c r="K9" s="4"/>
      <c r="L9" s="4"/>
    </row>
    <row r="10" spans="1:12" s="6" customFormat="1" ht="40.5" x14ac:dyDescent="0.3">
      <c r="A10" s="11" t="s">
        <v>117</v>
      </c>
      <c r="B10" s="9" t="s">
        <v>162</v>
      </c>
      <c r="C10" s="10" t="s">
        <v>1</v>
      </c>
      <c r="D10" s="7"/>
      <c r="E10" s="18"/>
      <c r="K10" s="4"/>
      <c r="L10" s="4"/>
    </row>
    <row r="11" spans="1:12" s="6" customFormat="1" ht="243" x14ac:dyDescent="0.3">
      <c r="A11" s="11" t="s">
        <v>125</v>
      </c>
      <c r="B11" s="9" t="s">
        <v>162</v>
      </c>
      <c r="C11" s="10" t="s">
        <v>154</v>
      </c>
      <c r="D11" s="7"/>
      <c r="E11" s="18"/>
      <c r="K11" s="4"/>
      <c r="L11" s="4"/>
    </row>
    <row r="12" spans="1:12" s="6" customFormat="1" ht="38.25" customHeight="1" x14ac:dyDescent="0.3">
      <c r="A12" s="11" t="s">
        <v>37</v>
      </c>
      <c r="B12" s="9" t="s">
        <v>161</v>
      </c>
      <c r="C12" s="10" t="s">
        <v>107</v>
      </c>
      <c r="D12" s="7"/>
      <c r="E12" s="18"/>
      <c r="K12" s="4"/>
      <c r="L12" s="4"/>
    </row>
    <row r="13" spans="1:12" s="6" customFormat="1" ht="13.5" x14ac:dyDescent="0.3">
      <c r="A13" s="11" t="s">
        <v>99</v>
      </c>
      <c r="B13" s="9" t="s">
        <v>162</v>
      </c>
      <c r="C13" s="10" t="s">
        <v>152</v>
      </c>
      <c r="D13" s="7"/>
      <c r="E13" s="18"/>
      <c r="K13" s="4"/>
      <c r="L13" s="4"/>
    </row>
    <row r="14" spans="1:12" s="6" customFormat="1" ht="13.5" x14ac:dyDescent="0.3">
      <c r="A14" s="11" t="s">
        <v>121</v>
      </c>
      <c r="B14" s="9" t="s">
        <v>162</v>
      </c>
      <c r="C14" s="10" t="s">
        <v>30</v>
      </c>
      <c r="D14" s="7"/>
      <c r="E14" s="18"/>
      <c r="K14" s="4"/>
      <c r="L14" s="4"/>
    </row>
    <row r="15" spans="1:12" s="6" customFormat="1" ht="13.5" x14ac:dyDescent="0.3">
      <c r="A15" s="11" t="s">
        <v>50</v>
      </c>
      <c r="B15" s="9" t="s">
        <v>162</v>
      </c>
      <c r="C15" s="10" t="s">
        <v>92</v>
      </c>
      <c r="D15" s="7"/>
      <c r="E15" s="18"/>
      <c r="K15" s="4"/>
      <c r="L15" s="4"/>
    </row>
    <row r="16" spans="1:12" s="6" customFormat="1" ht="96.75" customHeight="1" x14ac:dyDescent="0.3">
      <c r="A16" s="11" t="s">
        <v>36</v>
      </c>
      <c r="B16" s="9" t="s">
        <v>162</v>
      </c>
      <c r="C16" s="10" t="s">
        <v>155</v>
      </c>
      <c r="D16" s="7"/>
      <c r="E16" s="18"/>
      <c r="K16" s="4"/>
      <c r="L16" s="4"/>
    </row>
    <row r="17" spans="1:12" s="6" customFormat="1" ht="32.25" customHeight="1" x14ac:dyDescent="0.3">
      <c r="A17" s="11" t="s">
        <v>46</v>
      </c>
      <c r="B17" s="9" t="s">
        <v>162</v>
      </c>
      <c r="C17" s="10" t="s">
        <v>2</v>
      </c>
      <c r="D17" s="7"/>
      <c r="E17" s="18"/>
      <c r="K17" s="4"/>
      <c r="L17" s="4"/>
    </row>
    <row r="18" spans="1:12" s="6" customFormat="1" ht="51.75" customHeight="1" x14ac:dyDescent="0.3">
      <c r="A18" s="11" t="s">
        <v>48</v>
      </c>
      <c r="B18" s="9" t="s">
        <v>162</v>
      </c>
      <c r="C18" s="10" t="s">
        <v>3</v>
      </c>
      <c r="D18" s="7"/>
      <c r="E18" s="18"/>
      <c r="K18" s="4"/>
      <c r="L18" s="4"/>
    </row>
    <row r="19" spans="1:12" s="6" customFormat="1" ht="110.25" customHeight="1" x14ac:dyDescent="0.3">
      <c r="A19" s="11" t="s">
        <v>15</v>
      </c>
      <c r="B19" s="9" t="s">
        <v>162</v>
      </c>
      <c r="C19" s="10" t="s">
        <v>156</v>
      </c>
      <c r="D19" s="7"/>
      <c r="E19" s="18"/>
      <c r="K19" s="4"/>
      <c r="L19" s="4"/>
    </row>
    <row r="20" spans="1:12" s="6" customFormat="1" ht="40.5" x14ac:dyDescent="0.3">
      <c r="A20" s="11" t="s">
        <v>13</v>
      </c>
      <c r="B20" s="9" t="s">
        <v>161</v>
      </c>
      <c r="C20" s="10" t="s">
        <v>34</v>
      </c>
      <c r="D20" s="7"/>
      <c r="E20" s="18"/>
      <c r="K20" s="4"/>
      <c r="L20" s="4"/>
    </row>
    <row r="21" spans="1:12" s="6" customFormat="1" ht="136.5" customHeight="1" x14ac:dyDescent="0.3">
      <c r="A21" s="11" t="s">
        <v>122</v>
      </c>
      <c r="B21" s="9" t="s">
        <v>162</v>
      </c>
      <c r="C21" s="19" t="s">
        <v>6</v>
      </c>
      <c r="D21" s="7"/>
      <c r="E21" s="18"/>
      <c r="K21" s="4"/>
      <c r="L21" s="4"/>
    </row>
    <row r="22" spans="1:12" s="6" customFormat="1" ht="67.5" x14ac:dyDescent="0.3">
      <c r="A22" s="11" t="s">
        <v>111</v>
      </c>
      <c r="B22" s="9" t="s">
        <v>162</v>
      </c>
      <c r="C22" s="10" t="s">
        <v>106</v>
      </c>
      <c r="D22" s="7"/>
      <c r="E22" s="18"/>
      <c r="K22" s="4"/>
      <c r="L22" s="4"/>
    </row>
    <row r="23" spans="1:12" s="6" customFormat="1" ht="27" x14ac:dyDescent="0.3">
      <c r="A23" s="11" t="s">
        <v>39</v>
      </c>
      <c r="B23" s="9" t="s">
        <v>161</v>
      </c>
      <c r="C23" s="10" t="s">
        <v>91</v>
      </c>
      <c r="D23" s="7"/>
      <c r="E23" s="18"/>
      <c r="K23" s="4"/>
      <c r="L23" s="4"/>
    </row>
    <row r="24" spans="1:12" s="6" customFormat="1" ht="27" x14ac:dyDescent="0.3">
      <c r="A24" s="11" t="s">
        <v>11</v>
      </c>
      <c r="B24" s="9" t="s">
        <v>161</v>
      </c>
      <c r="C24" s="10" t="s">
        <v>5</v>
      </c>
      <c r="D24" s="7"/>
      <c r="E24" s="18"/>
      <c r="K24" s="4"/>
      <c r="L24" s="4"/>
    </row>
    <row r="25" spans="1:12" s="6" customFormat="1" ht="13.5" x14ac:dyDescent="0.3">
      <c r="A25" s="11" t="s">
        <v>132</v>
      </c>
      <c r="B25" s="9" t="s">
        <v>162</v>
      </c>
      <c r="C25" s="10" t="s">
        <v>26</v>
      </c>
      <c r="D25" s="7"/>
      <c r="E25" s="18"/>
      <c r="K25" s="4"/>
      <c r="L25" s="4"/>
    </row>
    <row r="26" spans="1:12" s="6" customFormat="1" ht="13.5" x14ac:dyDescent="0.3">
      <c r="A26" s="11" t="s">
        <v>118</v>
      </c>
      <c r="B26" s="9" t="s">
        <v>162</v>
      </c>
      <c r="C26" s="10" t="s">
        <v>19</v>
      </c>
      <c r="D26" s="7"/>
      <c r="E26" s="18"/>
      <c r="K26" s="4"/>
      <c r="L26" s="4"/>
    </row>
  </sheetData>
  <mergeCells count="1">
    <mergeCell ref="A1:E1"/>
  </mergeCells>
  <phoneticPr fontId="60" type="noConversion"/>
  <pageMargins left="0.7086111307144165" right="0.7086111307144165" top="0.74777776002883911" bottom="0.74777776002883911" header="0.31486111879348755" footer="0.31486111879348755"/>
  <pageSetup paperSize="9" fitToHeight="0" orientation="landscape" horizontalDpi="4294967295" verticalDpi="4294967295"/>
  <headerFooter>
    <oddFooter>&amp;C&amp;"돋움,Regular"&amp;10-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28"/>
  <sheetViews>
    <sheetView showGridLines="0" zoomScaleNormal="100" workbookViewId="0">
      <selection activeCell="E40" sqref="E40"/>
    </sheetView>
  </sheetViews>
  <sheetFormatPr defaultColWidth="9" defaultRowHeight="13.5" x14ac:dyDescent="0.3"/>
  <cols>
    <col min="1" max="1" width="9.625" style="2" bestFit="1" customWidth="1"/>
    <col min="2" max="2" width="14.125" style="2" customWidth="1"/>
    <col min="3" max="3" width="15.875" style="2" bestFit="1" customWidth="1"/>
    <col min="4" max="4" width="21" style="2" customWidth="1"/>
    <col min="5" max="5" width="12.125" style="2" customWidth="1"/>
    <col min="6" max="6" width="29.375" style="2" customWidth="1"/>
    <col min="7" max="7" width="27.875" style="2" customWidth="1"/>
    <col min="8" max="8" width="22" style="2" customWidth="1"/>
    <col min="9" max="9" width="8.375" style="2" bestFit="1" customWidth="1"/>
    <col min="10" max="10" width="19.375" style="2" customWidth="1"/>
    <col min="11" max="11" width="8" style="2" bestFit="1" customWidth="1"/>
    <col min="12" max="15" width="8.625" style="3" customWidth="1"/>
    <col min="16" max="16" width="27.75" style="2" bestFit="1" customWidth="1"/>
    <col min="17" max="17" width="6.875" style="2" customWidth="1"/>
    <col min="18" max="18" width="27.875" style="2" customWidth="1"/>
    <col min="19" max="19" width="14.875" style="2" customWidth="1"/>
    <col min="20" max="20" width="13.375" style="2" bestFit="1" customWidth="1"/>
    <col min="21" max="21" width="9.625" style="2" bestFit="1" customWidth="1"/>
    <col min="22" max="22" width="9.625" style="6" bestFit="1" customWidth="1"/>
    <col min="23" max="23" width="16.5" style="6" bestFit="1" customWidth="1"/>
    <col min="24" max="24" width="8.125" style="6" customWidth="1"/>
    <col min="25" max="25" width="6.75" style="6" customWidth="1"/>
    <col min="26" max="27" width="8.375" style="6" customWidth="1"/>
    <col min="28" max="28" width="9" style="6"/>
    <col min="29" max="29" width="38.25" style="6" customWidth="1"/>
    <col min="30" max="16384" width="9" style="6"/>
  </cols>
  <sheetData>
    <row r="1" spans="1:22" s="14" customFormat="1" ht="13.5" customHeight="1" x14ac:dyDescent="0.3">
      <c r="A1" s="80" t="s">
        <v>150</v>
      </c>
      <c r="B1" s="80" t="s">
        <v>148</v>
      </c>
      <c r="C1" s="80" t="s">
        <v>145</v>
      </c>
      <c r="D1" s="80" t="s">
        <v>128</v>
      </c>
      <c r="E1" s="80" t="s">
        <v>113</v>
      </c>
      <c r="F1" s="80" t="s">
        <v>117</v>
      </c>
      <c r="G1" s="80" t="s">
        <v>125</v>
      </c>
      <c r="H1" s="80" t="s">
        <v>37</v>
      </c>
      <c r="I1" s="80" t="s">
        <v>99</v>
      </c>
      <c r="J1" s="84" t="s">
        <v>120</v>
      </c>
      <c r="K1" s="84"/>
      <c r="L1" s="80" t="s">
        <v>36</v>
      </c>
      <c r="M1" s="80" t="s">
        <v>35</v>
      </c>
      <c r="N1" s="80" t="s">
        <v>23</v>
      </c>
      <c r="O1" s="80" t="s">
        <v>15</v>
      </c>
      <c r="P1" s="80" t="s">
        <v>21</v>
      </c>
      <c r="Q1" s="82" t="s">
        <v>127</v>
      </c>
      <c r="R1" s="83"/>
      <c r="S1" s="84" t="s">
        <v>38</v>
      </c>
      <c r="T1" s="84"/>
      <c r="U1" s="80" t="s">
        <v>132</v>
      </c>
      <c r="V1" s="80" t="s">
        <v>118</v>
      </c>
    </row>
    <row r="2" spans="1:22" s="14" customFormat="1" ht="27" x14ac:dyDescent="0.3">
      <c r="A2" s="81"/>
      <c r="B2" s="81"/>
      <c r="C2" s="81"/>
      <c r="D2" s="81"/>
      <c r="E2" s="81"/>
      <c r="F2" s="81"/>
      <c r="G2" s="81"/>
      <c r="H2" s="81"/>
      <c r="I2" s="81"/>
      <c r="J2" s="20" t="s">
        <v>94</v>
      </c>
      <c r="K2" s="20" t="s">
        <v>101</v>
      </c>
      <c r="L2" s="81"/>
      <c r="M2" s="81"/>
      <c r="N2" s="81"/>
      <c r="O2" s="81"/>
      <c r="P2" s="81"/>
      <c r="Q2" s="15" t="s">
        <v>122</v>
      </c>
      <c r="R2" s="15" t="s">
        <v>111</v>
      </c>
      <c r="S2" s="20" t="s">
        <v>102</v>
      </c>
      <c r="T2" s="20" t="s">
        <v>47</v>
      </c>
      <c r="U2" s="81"/>
      <c r="V2" s="81"/>
    </row>
    <row r="3" spans="1:22" x14ac:dyDescent="0.3">
      <c r="A3" s="16" t="s">
        <v>105</v>
      </c>
      <c r="B3" s="16" t="s">
        <v>115</v>
      </c>
      <c r="C3" s="16" t="s">
        <v>129</v>
      </c>
      <c r="D3" s="16" t="s">
        <v>126</v>
      </c>
      <c r="E3" s="16" t="s">
        <v>61</v>
      </c>
      <c r="F3" s="16" t="s">
        <v>44</v>
      </c>
      <c r="G3" s="16" t="s">
        <v>17</v>
      </c>
      <c r="H3" s="16"/>
      <c r="I3" s="16" t="s">
        <v>135</v>
      </c>
      <c r="J3" s="16" t="s">
        <v>93</v>
      </c>
      <c r="K3" s="21" t="s">
        <v>98</v>
      </c>
      <c r="L3" s="21" t="s">
        <v>100</v>
      </c>
      <c r="M3" s="21" t="s">
        <v>95</v>
      </c>
      <c r="N3" s="21" t="s">
        <v>159</v>
      </c>
      <c r="O3" s="21" t="s">
        <v>160</v>
      </c>
      <c r="P3" s="16"/>
      <c r="Q3" s="21"/>
      <c r="R3" s="16"/>
      <c r="S3" s="16"/>
      <c r="T3" s="16"/>
      <c r="U3" s="22">
        <v>42523</v>
      </c>
      <c r="V3" s="22">
        <v>42523</v>
      </c>
    </row>
    <row r="4" spans="1:22" x14ac:dyDescent="0.3">
      <c r="A4" s="16" t="s">
        <v>105</v>
      </c>
      <c r="B4" s="16" t="s">
        <v>115</v>
      </c>
      <c r="C4" s="16" t="s">
        <v>49</v>
      </c>
      <c r="D4" s="16" t="s">
        <v>114</v>
      </c>
      <c r="E4" s="16" t="s">
        <v>65</v>
      </c>
      <c r="F4" s="16" t="s">
        <v>41</v>
      </c>
      <c r="G4" s="16" t="s">
        <v>119</v>
      </c>
      <c r="H4" s="16"/>
      <c r="I4" s="16" t="s">
        <v>135</v>
      </c>
      <c r="J4" s="16" t="s">
        <v>93</v>
      </c>
      <c r="K4" s="21" t="s">
        <v>98</v>
      </c>
      <c r="L4" s="21" t="s">
        <v>104</v>
      </c>
      <c r="M4" s="21" t="s">
        <v>95</v>
      </c>
      <c r="N4" s="21" t="s">
        <v>159</v>
      </c>
      <c r="O4" s="21" t="s">
        <v>160</v>
      </c>
      <c r="P4" s="16"/>
      <c r="Q4" s="21"/>
      <c r="R4" s="16"/>
      <c r="S4" s="16"/>
      <c r="T4" s="16"/>
      <c r="U4" s="22">
        <v>42523</v>
      </c>
      <c r="V4" s="22">
        <v>42523</v>
      </c>
    </row>
    <row r="5" spans="1:22" ht="40.5" x14ac:dyDescent="0.3">
      <c r="A5" s="16" t="s">
        <v>105</v>
      </c>
      <c r="B5" s="16" t="s">
        <v>115</v>
      </c>
      <c r="C5" s="16" t="s">
        <v>49</v>
      </c>
      <c r="D5" s="16" t="s">
        <v>114</v>
      </c>
      <c r="E5" s="16" t="s">
        <v>66</v>
      </c>
      <c r="F5" s="16" t="s">
        <v>10</v>
      </c>
      <c r="G5" s="16" t="s">
        <v>144</v>
      </c>
      <c r="H5" s="16"/>
      <c r="I5" s="16" t="s">
        <v>135</v>
      </c>
      <c r="J5" s="16" t="s">
        <v>93</v>
      </c>
      <c r="K5" s="21" t="s">
        <v>98</v>
      </c>
      <c r="L5" s="21" t="s">
        <v>100</v>
      </c>
      <c r="M5" s="21" t="s">
        <v>95</v>
      </c>
      <c r="N5" s="21" t="s">
        <v>159</v>
      </c>
      <c r="O5" s="21" t="s">
        <v>160</v>
      </c>
      <c r="P5" s="16"/>
      <c r="Q5" s="21"/>
      <c r="R5" s="16"/>
      <c r="S5" s="16"/>
      <c r="T5" s="16"/>
      <c r="U5" s="22">
        <v>42523</v>
      </c>
      <c r="V5" s="22">
        <v>42523</v>
      </c>
    </row>
    <row r="6" spans="1:22" x14ac:dyDescent="0.3">
      <c r="A6" s="16" t="s">
        <v>105</v>
      </c>
      <c r="B6" s="16" t="s">
        <v>115</v>
      </c>
      <c r="C6" s="16" t="s">
        <v>49</v>
      </c>
      <c r="D6" s="16" t="s">
        <v>126</v>
      </c>
      <c r="E6" s="16" t="s">
        <v>51</v>
      </c>
      <c r="F6" s="16" t="s">
        <v>40</v>
      </c>
      <c r="G6" s="16" t="s">
        <v>42</v>
      </c>
      <c r="H6" s="16"/>
      <c r="I6" s="16" t="s">
        <v>135</v>
      </c>
      <c r="J6" s="17" t="s">
        <v>93</v>
      </c>
      <c r="K6" s="21" t="s">
        <v>98</v>
      </c>
      <c r="L6" s="21" t="s">
        <v>104</v>
      </c>
      <c r="M6" s="21" t="s">
        <v>95</v>
      </c>
      <c r="N6" s="21" t="s">
        <v>159</v>
      </c>
      <c r="O6" s="21" t="s">
        <v>160</v>
      </c>
      <c r="P6" s="16"/>
      <c r="Q6" s="21"/>
      <c r="R6" s="16"/>
      <c r="S6" s="16"/>
      <c r="T6" s="16"/>
      <c r="U6" s="22">
        <v>42523</v>
      </c>
      <c r="V6" s="22">
        <v>42523</v>
      </c>
    </row>
    <row r="7" spans="1:22" x14ac:dyDescent="0.3">
      <c r="A7" s="16" t="s">
        <v>105</v>
      </c>
      <c r="B7" s="16" t="s">
        <v>115</v>
      </c>
      <c r="C7" s="16" t="s">
        <v>112</v>
      </c>
      <c r="D7" s="16" t="s">
        <v>112</v>
      </c>
      <c r="E7" s="16" t="s">
        <v>76</v>
      </c>
      <c r="F7" s="16" t="s">
        <v>43</v>
      </c>
      <c r="G7" s="16" t="s">
        <v>116</v>
      </c>
      <c r="H7" s="16"/>
      <c r="I7" s="16" t="s">
        <v>135</v>
      </c>
      <c r="J7" s="16" t="s">
        <v>93</v>
      </c>
      <c r="K7" s="21" t="s">
        <v>98</v>
      </c>
      <c r="L7" s="21" t="s">
        <v>104</v>
      </c>
      <c r="M7" s="21" t="s">
        <v>95</v>
      </c>
      <c r="N7" s="21" t="s">
        <v>159</v>
      </c>
      <c r="O7" s="21" t="s">
        <v>160</v>
      </c>
      <c r="P7" s="16"/>
      <c r="Q7" s="21"/>
      <c r="R7" s="16"/>
      <c r="S7" s="16"/>
      <c r="T7" s="16"/>
      <c r="U7" s="22">
        <v>42523</v>
      </c>
      <c r="V7" s="22">
        <v>42523</v>
      </c>
    </row>
    <row r="8" spans="1:22" x14ac:dyDescent="0.3">
      <c r="A8" s="16" t="s">
        <v>105</v>
      </c>
      <c r="B8" s="16" t="s">
        <v>115</v>
      </c>
      <c r="C8" s="16" t="s">
        <v>112</v>
      </c>
      <c r="D8" s="16" t="s">
        <v>112</v>
      </c>
      <c r="E8" s="16" t="s">
        <v>67</v>
      </c>
      <c r="F8" s="16" t="s">
        <v>24</v>
      </c>
      <c r="G8" s="16" t="s">
        <v>20</v>
      </c>
      <c r="H8" s="16"/>
      <c r="I8" s="16" t="s">
        <v>135</v>
      </c>
      <c r="J8" s="16" t="s">
        <v>93</v>
      </c>
      <c r="K8" s="21" t="s">
        <v>98</v>
      </c>
      <c r="L8" s="21" t="s">
        <v>104</v>
      </c>
      <c r="M8" s="21" t="s">
        <v>95</v>
      </c>
      <c r="N8" s="21" t="s">
        <v>159</v>
      </c>
      <c r="O8" s="21" t="s">
        <v>160</v>
      </c>
      <c r="P8" s="16"/>
      <c r="Q8" s="21"/>
      <c r="R8" s="16"/>
      <c r="S8" s="16"/>
      <c r="T8" s="16"/>
      <c r="U8" s="22">
        <v>42523</v>
      </c>
      <c r="V8" s="22">
        <v>42523</v>
      </c>
    </row>
    <row r="9" spans="1:22" x14ac:dyDescent="0.3">
      <c r="A9" s="16" t="s">
        <v>105</v>
      </c>
      <c r="B9" s="16" t="s">
        <v>115</v>
      </c>
      <c r="C9" s="16" t="s">
        <v>112</v>
      </c>
      <c r="D9" s="16" t="s">
        <v>112</v>
      </c>
      <c r="E9" s="16" t="s">
        <v>72</v>
      </c>
      <c r="F9" s="16" t="s">
        <v>8</v>
      </c>
      <c r="G9" s="16" t="s">
        <v>62</v>
      </c>
      <c r="H9" s="16"/>
      <c r="I9" s="16" t="s">
        <v>135</v>
      </c>
      <c r="J9" s="16" t="s">
        <v>93</v>
      </c>
      <c r="K9" s="21" t="s">
        <v>98</v>
      </c>
      <c r="L9" s="21" t="s">
        <v>104</v>
      </c>
      <c r="M9" s="21" t="s">
        <v>95</v>
      </c>
      <c r="N9" s="21" t="s">
        <v>159</v>
      </c>
      <c r="O9" s="21" t="s">
        <v>160</v>
      </c>
      <c r="P9" s="16"/>
      <c r="Q9" s="21"/>
      <c r="R9" s="16"/>
      <c r="S9" s="16"/>
      <c r="T9" s="16"/>
      <c r="U9" s="22">
        <v>42523</v>
      </c>
      <c r="V9" s="22">
        <v>42523</v>
      </c>
    </row>
    <row r="10" spans="1:22" ht="40.5" x14ac:dyDescent="0.3">
      <c r="A10" s="16" t="s">
        <v>105</v>
      </c>
      <c r="B10" s="16" t="s">
        <v>115</v>
      </c>
      <c r="C10" s="16" t="s">
        <v>112</v>
      </c>
      <c r="D10" s="16" t="s">
        <v>112</v>
      </c>
      <c r="E10" s="16" t="s">
        <v>69</v>
      </c>
      <c r="F10" s="16" t="s">
        <v>55</v>
      </c>
      <c r="G10" s="16" t="s">
        <v>153</v>
      </c>
      <c r="H10" s="16"/>
      <c r="I10" s="16" t="s">
        <v>135</v>
      </c>
      <c r="J10" s="16" t="s">
        <v>93</v>
      </c>
      <c r="K10" s="21" t="s">
        <v>98</v>
      </c>
      <c r="L10" s="21" t="s">
        <v>104</v>
      </c>
      <c r="M10" s="21" t="s">
        <v>95</v>
      </c>
      <c r="N10" s="21" t="s">
        <v>159</v>
      </c>
      <c r="O10" s="21" t="s">
        <v>160</v>
      </c>
      <c r="P10" s="16"/>
      <c r="Q10" s="21"/>
      <c r="R10" s="16"/>
      <c r="S10" s="16"/>
      <c r="T10" s="16"/>
      <c r="U10" s="22">
        <v>42523</v>
      </c>
      <c r="V10" s="22">
        <v>42523</v>
      </c>
    </row>
    <row r="11" spans="1:22" x14ac:dyDescent="0.3">
      <c r="A11" s="16" t="s">
        <v>105</v>
      </c>
      <c r="B11" s="16" t="s">
        <v>115</v>
      </c>
      <c r="C11" s="16" t="s">
        <v>112</v>
      </c>
      <c r="D11" s="16" t="s">
        <v>112</v>
      </c>
      <c r="E11" s="16" t="s">
        <v>77</v>
      </c>
      <c r="F11" s="16" t="s">
        <v>53</v>
      </c>
      <c r="G11" s="16" t="s">
        <v>57</v>
      </c>
      <c r="H11" s="16"/>
      <c r="I11" s="16" t="s">
        <v>135</v>
      </c>
      <c r="J11" s="16" t="s">
        <v>93</v>
      </c>
      <c r="K11" s="21" t="s">
        <v>98</v>
      </c>
      <c r="L11" s="21" t="s">
        <v>104</v>
      </c>
      <c r="M11" s="21" t="s">
        <v>95</v>
      </c>
      <c r="N11" s="21" t="s">
        <v>159</v>
      </c>
      <c r="O11" s="21" t="s">
        <v>160</v>
      </c>
      <c r="P11" s="16"/>
      <c r="Q11" s="21"/>
      <c r="R11" s="16"/>
      <c r="S11" s="16"/>
      <c r="T11" s="16"/>
      <c r="U11" s="22">
        <v>42523</v>
      </c>
      <c r="V11" s="22">
        <v>42523</v>
      </c>
    </row>
    <row r="12" spans="1:22" x14ac:dyDescent="0.3">
      <c r="A12" s="16" t="s">
        <v>105</v>
      </c>
      <c r="B12" s="16" t="s">
        <v>115</v>
      </c>
      <c r="C12" s="16" t="s">
        <v>112</v>
      </c>
      <c r="D12" s="16" t="s">
        <v>112</v>
      </c>
      <c r="E12" s="16" t="s">
        <v>71</v>
      </c>
      <c r="F12" s="16" t="s">
        <v>54</v>
      </c>
      <c r="G12" s="16" t="s">
        <v>133</v>
      </c>
      <c r="H12" s="16"/>
      <c r="I12" s="16" t="s">
        <v>135</v>
      </c>
      <c r="J12" s="16" t="s">
        <v>93</v>
      </c>
      <c r="K12" s="21" t="s">
        <v>98</v>
      </c>
      <c r="L12" s="21" t="s">
        <v>104</v>
      </c>
      <c r="M12" s="21" t="s">
        <v>95</v>
      </c>
      <c r="N12" s="21" t="s">
        <v>159</v>
      </c>
      <c r="O12" s="21" t="s">
        <v>160</v>
      </c>
      <c r="P12" s="16"/>
      <c r="Q12" s="21"/>
      <c r="R12" s="16"/>
      <c r="S12" s="16"/>
      <c r="T12" s="16"/>
      <c r="U12" s="22">
        <v>42523</v>
      </c>
      <c r="V12" s="22">
        <v>42523</v>
      </c>
    </row>
    <row r="13" spans="1:22" x14ac:dyDescent="0.3">
      <c r="A13" s="16" t="s">
        <v>105</v>
      </c>
      <c r="B13" s="16" t="s">
        <v>115</v>
      </c>
      <c r="C13" s="16" t="s">
        <v>112</v>
      </c>
      <c r="D13" s="16" t="s">
        <v>112</v>
      </c>
      <c r="E13" s="16" t="s">
        <v>74</v>
      </c>
      <c r="F13" s="16" t="s">
        <v>64</v>
      </c>
      <c r="G13" s="16" t="s">
        <v>22</v>
      </c>
      <c r="H13" s="16"/>
      <c r="I13" s="16" t="s">
        <v>135</v>
      </c>
      <c r="J13" s="16" t="s">
        <v>93</v>
      </c>
      <c r="K13" s="21" t="s">
        <v>98</v>
      </c>
      <c r="L13" s="21" t="s">
        <v>104</v>
      </c>
      <c r="M13" s="21" t="s">
        <v>95</v>
      </c>
      <c r="N13" s="21" t="s">
        <v>159</v>
      </c>
      <c r="O13" s="21" t="s">
        <v>160</v>
      </c>
      <c r="P13" s="16"/>
      <c r="Q13" s="21"/>
      <c r="R13" s="16"/>
      <c r="S13" s="16"/>
      <c r="T13" s="16"/>
      <c r="U13" s="22">
        <v>42523</v>
      </c>
      <c r="V13" s="22">
        <v>42523</v>
      </c>
    </row>
    <row r="14" spans="1:22" x14ac:dyDescent="0.3">
      <c r="A14" s="16" t="s">
        <v>105</v>
      </c>
      <c r="B14" s="16" t="s">
        <v>115</v>
      </c>
      <c r="C14" s="16" t="s">
        <v>112</v>
      </c>
      <c r="D14" s="16" t="s">
        <v>112</v>
      </c>
      <c r="E14" s="16" t="s">
        <v>81</v>
      </c>
      <c r="F14" s="16" t="s">
        <v>45</v>
      </c>
      <c r="G14" s="16" t="s">
        <v>52</v>
      </c>
      <c r="H14" s="16"/>
      <c r="I14" s="16" t="s">
        <v>135</v>
      </c>
      <c r="J14" s="16" t="s">
        <v>93</v>
      </c>
      <c r="K14" s="21" t="s">
        <v>98</v>
      </c>
      <c r="L14" s="21" t="s">
        <v>104</v>
      </c>
      <c r="M14" s="21" t="s">
        <v>95</v>
      </c>
      <c r="N14" s="21" t="s">
        <v>159</v>
      </c>
      <c r="O14" s="21" t="s">
        <v>160</v>
      </c>
      <c r="P14" s="16"/>
      <c r="Q14" s="21"/>
      <c r="R14" s="16"/>
      <c r="S14" s="16"/>
      <c r="T14" s="16"/>
      <c r="U14" s="22">
        <v>42523</v>
      </c>
      <c r="V14" s="22">
        <v>42523</v>
      </c>
    </row>
    <row r="15" spans="1:22" x14ac:dyDescent="0.3">
      <c r="A15" s="16" t="s">
        <v>105</v>
      </c>
      <c r="B15" s="16" t="s">
        <v>115</v>
      </c>
      <c r="C15" s="16" t="s">
        <v>112</v>
      </c>
      <c r="D15" s="16" t="s">
        <v>63</v>
      </c>
      <c r="E15" s="16" t="s">
        <v>87</v>
      </c>
      <c r="F15" s="16" t="s">
        <v>27</v>
      </c>
      <c r="G15" s="16" t="s">
        <v>63</v>
      </c>
      <c r="H15" s="16"/>
      <c r="I15" s="16" t="s">
        <v>135</v>
      </c>
      <c r="J15" s="16" t="s">
        <v>93</v>
      </c>
      <c r="K15" s="21" t="s">
        <v>98</v>
      </c>
      <c r="L15" s="21" t="s">
        <v>104</v>
      </c>
      <c r="M15" s="21" t="s">
        <v>95</v>
      </c>
      <c r="N15" s="21" t="s">
        <v>159</v>
      </c>
      <c r="O15" s="21" t="s">
        <v>160</v>
      </c>
      <c r="P15" s="16"/>
      <c r="Q15" s="21"/>
      <c r="R15" s="16"/>
      <c r="S15" s="16"/>
      <c r="T15" s="16"/>
      <c r="U15" s="22">
        <v>42523</v>
      </c>
      <c r="V15" s="22">
        <v>42523</v>
      </c>
    </row>
    <row r="16" spans="1:22" x14ac:dyDescent="0.3">
      <c r="A16" s="16" t="s">
        <v>105</v>
      </c>
      <c r="B16" s="16" t="s">
        <v>115</v>
      </c>
      <c r="C16" s="16" t="s">
        <v>112</v>
      </c>
      <c r="D16" s="16" t="s">
        <v>134</v>
      </c>
      <c r="E16" s="16" t="s">
        <v>79</v>
      </c>
      <c r="F16" s="16" t="s">
        <v>18</v>
      </c>
      <c r="G16" s="16" t="s">
        <v>56</v>
      </c>
      <c r="H16" s="16"/>
      <c r="I16" s="16" t="s">
        <v>135</v>
      </c>
      <c r="J16" s="16" t="s">
        <v>93</v>
      </c>
      <c r="K16" s="21" t="s">
        <v>98</v>
      </c>
      <c r="L16" s="21" t="s">
        <v>104</v>
      </c>
      <c r="M16" s="21" t="s">
        <v>95</v>
      </c>
      <c r="N16" s="21" t="s">
        <v>159</v>
      </c>
      <c r="O16" s="21" t="s">
        <v>160</v>
      </c>
      <c r="P16" s="16"/>
      <c r="Q16" s="21"/>
      <c r="R16" s="16"/>
      <c r="S16" s="16"/>
      <c r="T16" s="16"/>
      <c r="U16" s="22">
        <v>42523</v>
      </c>
      <c r="V16" s="22">
        <v>42523</v>
      </c>
    </row>
    <row r="17" spans="1:22" x14ac:dyDescent="0.3">
      <c r="A17" s="16" t="s">
        <v>105</v>
      </c>
      <c r="B17" s="16" t="s">
        <v>115</v>
      </c>
      <c r="C17" s="16" t="s">
        <v>112</v>
      </c>
      <c r="D17" s="16" t="s">
        <v>142</v>
      </c>
      <c r="E17" s="16" t="s">
        <v>70</v>
      </c>
      <c r="F17" s="16" t="s">
        <v>142</v>
      </c>
      <c r="G17" s="16" t="s">
        <v>16</v>
      </c>
      <c r="H17" s="16"/>
      <c r="I17" s="16" t="s">
        <v>135</v>
      </c>
      <c r="J17" s="16" t="s">
        <v>93</v>
      </c>
      <c r="K17" s="21" t="s">
        <v>98</v>
      </c>
      <c r="L17" s="21" t="s">
        <v>104</v>
      </c>
      <c r="M17" s="21" t="s">
        <v>95</v>
      </c>
      <c r="N17" s="21" t="s">
        <v>159</v>
      </c>
      <c r="O17" s="21" t="s">
        <v>160</v>
      </c>
      <c r="P17" s="16"/>
      <c r="Q17" s="21"/>
      <c r="R17" s="16"/>
      <c r="S17" s="16"/>
      <c r="T17" s="16"/>
      <c r="U17" s="22">
        <v>42523</v>
      </c>
      <c r="V17" s="22">
        <v>42523</v>
      </c>
    </row>
    <row r="18" spans="1:22" x14ac:dyDescent="0.3">
      <c r="A18" s="16" t="s">
        <v>105</v>
      </c>
      <c r="B18" s="16" t="s">
        <v>115</v>
      </c>
      <c r="C18" s="16" t="s">
        <v>112</v>
      </c>
      <c r="D18" s="16" t="s">
        <v>137</v>
      </c>
      <c r="E18" s="16" t="s">
        <v>68</v>
      </c>
      <c r="F18" s="16" t="s">
        <v>139</v>
      </c>
      <c r="G18" s="16" t="s">
        <v>28</v>
      </c>
      <c r="H18" s="16"/>
      <c r="I18" s="16" t="s">
        <v>135</v>
      </c>
      <c r="J18" s="16" t="s">
        <v>93</v>
      </c>
      <c r="K18" s="21" t="s">
        <v>98</v>
      </c>
      <c r="L18" s="21" t="s">
        <v>104</v>
      </c>
      <c r="M18" s="21" t="s">
        <v>95</v>
      </c>
      <c r="N18" s="21" t="s">
        <v>159</v>
      </c>
      <c r="O18" s="21" t="s">
        <v>160</v>
      </c>
      <c r="P18" s="16"/>
      <c r="Q18" s="21"/>
      <c r="R18" s="16"/>
      <c r="S18" s="16"/>
      <c r="T18" s="16"/>
      <c r="U18" s="22">
        <v>42523</v>
      </c>
      <c r="V18" s="22">
        <v>42523</v>
      </c>
    </row>
    <row r="19" spans="1:22" ht="27" x14ac:dyDescent="0.3">
      <c r="A19" s="16" t="s">
        <v>105</v>
      </c>
      <c r="B19" s="16" t="s">
        <v>115</v>
      </c>
      <c r="C19" s="16" t="s">
        <v>112</v>
      </c>
      <c r="D19" s="16" t="s">
        <v>137</v>
      </c>
      <c r="E19" s="16" t="s">
        <v>75</v>
      </c>
      <c r="F19" s="16" t="s">
        <v>59</v>
      </c>
      <c r="G19" s="16" t="s">
        <v>32</v>
      </c>
      <c r="H19" s="16"/>
      <c r="I19" s="16" t="s">
        <v>135</v>
      </c>
      <c r="J19" s="16" t="s">
        <v>93</v>
      </c>
      <c r="K19" s="21" t="s">
        <v>98</v>
      </c>
      <c r="L19" s="21" t="s">
        <v>104</v>
      </c>
      <c r="M19" s="21" t="s">
        <v>95</v>
      </c>
      <c r="N19" s="21" t="s">
        <v>159</v>
      </c>
      <c r="O19" s="21" t="s">
        <v>160</v>
      </c>
      <c r="P19" s="16"/>
      <c r="Q19" s="21"/>
      <c r="R19" s="16"/>
      <c r="S19" s="16"/>
      <c r="T19" s="16"/>
      <c r="U19" s="22">
        <v>42523</v>
      </c>
      <c r="V19" s="22">
        <v>42523</v>
      </c>
    </row>
    <row r="20" spans="1:22" x14ac:dyDescent="0.3">
      <c r="A20" s="16" t="s">
        <v>105</v>
      </c>
      <c r="B20" s="16" t="s">
        <v>115</v>
      </c>
      <c r="C20" s="16" t="s">
        <v>96</v>
      </c>
      <c r="D20" s="16" t="s">
        <v>137</v>
      </c>
      <c r="E20" s="16" t="s">
        <v>80</v>
      </c>
      <c r="F20" s="16" t="s">
        <v>138</v>
      </c>
      <c r="G20" s="16" t="s">
        <v>58</v>
      </c>
      <c r="H20" s="16"/>
      <c r="I20" s="16" t="s">
        <v>135</v>
      </c>
      <c r="J20" s="16" t="s">
        <v>93</v>
      </c>
      <c r="K20" s="21" t="s">
        <v>98</v>
      </c>
      <c r="L20" s="21" t="s">
        <v>104</v>
      </c>
      <c r="M20" s="21" t="s">
        <v>95</v>
      </c>
      <c r="N20" s="21" t="s">
        <v>159</v>
      </c>
      <c r="O20" s="21" t="s">
        <v>160</v>
      </c>
      <c r="P20" s="16"/>
      <c r="Q20" s="21"/>
      <c r="R20" s="16"/>
      <c r="S20" s="16"/>
      <c r="T20" s="16"/>
      <c r="U20" s="22">
        <v>42523</v>
      </c>
      <c r="V20" s="22">
        <v>42523</v>
      </c>
    </row>
    <row r="21" spans="1:22" x14ac:dyDescent="0.3">
      <c r="A21" s="16" t="s">
        <v>105</v>
      </c>
      <c r="B21" s="16" t="s">
        <v>115</v>
      </c>
      <c r="C21" s="16" t="s">
        <v>130</v>
      </c>
      <c r="D21" s="16" t="s">
        <v>141</v>
      </c>
      <c r="E21" s="16" t="s">
        <v>82</v>
      </c>
      <c r="F21" s="16" t="s">
        <v>14</v>
      </c>
      <c r="G21" s="16" t="s">
        <v>123</v>
      </c>
      <c r="H21" s="16"/>
      <c r="I21" s="16" t="s">
        <v>135</v>
      </c>
      <c r="J21" s="16" t="s">
        <v>93</v>
      </c>
      <c r="K21" s="21" t="s">
        <v>98</v>
      </c>
      <c r="L21" s="21" t="s">
        <v>104</v>
      </c>
      <c r="M21" s="21" t="s">
        <v>95</v>
      </c>
      <c r="N21" s="21" t="s">
        <v>159</v>
      </c>
      <c r="O21" s="21" t="s">
        <v>160</v>
      </c>
      <c r="P21" s="16"/>
      <c r="Q21" s="21"/>
      <c r="R21" s="16"/>
      <c r="S21" s="16"/>
      <c r="T21" s="16"/>
      <c r="U21" s="22">
        <v>42523</v>
      </c>
      <c r="V21" s="22">
        <v>42523</v>
      </c>
    </row>
    <row r="22" spans="1:22" x14ac:dyDescent="0.3">
      <c r="A22" s="16" t="s">
        <v>105</v>
      </c>
      <c r="B22" s="16" t="s">
        <v>115</v>
      </c>
      <c r="C22" s="16" t="s">
        <v>130</v>
      </c>
      <c r="D22" s="16" t="s">
        <v>141</v>
      </c>
      <c r="E22" s="16" t="s">
        <v>73</v>
      </c>
      <c r="F22" s="16" t="s">
        <v>25</v>
      </c>
      <c r="G22" s="16" t="s">
        <v>108</v>
      </c>
      <c r="H22" s="16"/>
      <c r="I22" s="16" t="s">
        <v>135</v>
      </c>
      <c r="J22" s="16" t="s">
        <v>93</v>
      </c>
      <c r="K22" s="21" t="s">
        <v>98</v>
      </c>
      <c r="L22" s="21" t="s">
        <v>104</v>
      </c>
      <c r="M22" s="21" t="s">
        <v>95</v>
      </c>
      <c r="N22" s="21" t="s">
        <v>159</v>
      </c>
      <c r="O22" s="21" t="s">
        <v>160</v>
      </c>
      <c r="P22" s="16"/>
      <c r="Q22" s="21"/>
      <c r="R22" s="16"/>
      <c r="S22" s="16"/>
      <c r="T22" s="16"/>
      <c r="U22" s="22">
        <v>42523</v>
      </c>
      <c r="V22" s="22">
        <v>42523</v>
      </c>
    </row>
    <row r="23" spans="1:22" ht="27" x14ac:dyDescent="0.3">
      <c r="A23" s="16" t="s">
        <v>105</v>
      </c>
      <c r="B23" s="16" t="s">
        <v>115</v>
      </c>
      <c r="C23" s="16" t="s">
        <v>157</v>
      </c>
      <c r="D23" s="16" t="s">
        <v>157</v>
      </c>
      <c r="E23" s="16" t="s">
        <v>78</v>
      </c>
      <c r="F23" s="16" t="s">
        <v>60</v>
      </c>
      <c r="G23" s="16" t="s">
        <v>33</v>
      </c>
      <c r="H23" s="16"/>
      <c r="I23" s="16" t="s">
        <v>135</v>
      </c>
      <c r="J23" s="16" t="s">
        <v>93</v>
      </c>
      <c r="K23" s="21" t="s">
        <v>98</v>
      </c>
      <c r="L23" s="21" t="s">
        <v>104</v>
      </c>
      <c r="M23" s="21" t="s">
        <v>95</v>
      </c>
      <c r="N23" s="21" t="s">
        <v>159</v>
      </c>
      <c r="O23" s="21" t="s">
        <v>160</v>
      </c>
      <c r="P23" s="16"/>
      <c r="Q23" s="21"/>
      <c r="R23" s="16"/>
      <c r="S23" s="16"/>
      <c r="T23" s="16"/>
      <c r="U23" s="22">
        <v>42523</v>
      </c>
      <c r="V23" s="22">
        <v>42523</v>
      </c>
    </row>
    <row r="24" spans="1:22" x14ac:dyDescent="0.3">
      <c r="A24" s="16" t="s">
        <v>105</v>
      </c>
      <c r="B24" s="16" t="s">
        <v>115</v>
      </c>
      <c r="C24" s="16" t="s">
        <v>157</v>
      </c>
      <c r="D24" s="16" t="s">
        <v>157</v>
      </c>
      <c r="E24" s="16" t="s">
        <v>89</v>
      </c>
      <c r="F24" s="16" t="s">
        <v>9</v>
      </c>
      <c r="G24" s="16" t="s">
        <v>140</v>
      </c>
      <c r="H24" s="16"/>
      <c r="I24" s="16" t="s">
        <v>135</v>
      </c>
      <c r="J24" s="16" t="s">
        <v>93</v>
      </c>
      <c r="K24" s="21" t="s">
        <v>98</v>
      </c>
      <c r="L24" s="21" t="s">
        <v>104</v>
      </c>
      <c r="M24" s="21" t="s">
        <v>95</v>
      </c>
      <c r="N24" s="21" t="s">
        <v>159</v>
      </c>
      <c r="O24" s="21" t="s">
        <v>160</v>
      </c>
      <c r="P24" s="16"/>
      <c r="Q24" s="21"/>
      <c r="R24" s="16"/>
      <c r="S24" s="16"/>
      <c r="T24" s="16"/>
      <c r="U24" s="22">
        <v>42523</v>
      </c>
      <c r="V24" s="22">
        <v>42523</v>
      </c>
    </row>
    <row r="25" spans="1:22" ht="27" x14ac:dyDescent="0.3">
      <c r="A25" s="16" t="s">
        <v>105</v>
      </c>
      <c r="B25" s="16" t="s">
        <v>124</v>
      </c>
      <c r="C25" s="16" t="s">
        <v>7</v>
      </c>
      <c r="D25" s="16" t="s">
        <v>7</v>
      </c>
      <c r="E25" s="16" t="s">
        <v>86</v>
      </c>
      <c r="F25" s="16" t="s">
        <v>12</v>
      </c>
      <c r="G25" s="16"/>
      <c r="H25" s="16"/>
      <c r="I25" s="16" t="s">
        <v>136</v>
      </c>
      <c r="J25" s="16" t="s">
        <v>93</v>
      </c>
      <c r="K25" s="21" t="s">
        <v>158</v>
      </c>
      <c r="L25" s="21" t="s">
        <v>100</v>
      </c>
      <c r="M25" s="21" t="s">
        <v>95</v>
      </c>
      <c r="N25" s="21" t="s">
        <v>159</v>
      </c>
      <c r="O25" s="21" t="s">
        <v>160</v>
      </c>
      <c r="P25" s="16"/>
      <c r="Q25" s="21"/>
      <c r="R25" s="16"/>
      <c r="S25" s="16"/>
      <c r="T25" s="16"/>
      <c r="U25" s="22">
        <v>42523</v>
      </c>
      <c r="V25" s="22">
        <v>42523</v>
      </c>
    </row>
    <row r="26" spans="1:22" ht="27" x14ac:dyDescent="0.3">
      <c r="A26" s="16" t="s">
        <v>105</v>
      </c>
      <c r="B26" s="16" t="s">
        <v>124</v>
      </c>
      <c r="C26" s="16" t="s">
        <v>7</v>
      </c>
      <c r="D26" s="16" t="s">
        <v>7</v>
      </c>
      <c r="E26" s="16" t="s">
        <v>85</v>
      </c>
      <c r="F26" s="16" t="s">
        <v>4</v>
      </c>
      <c r="G26" s="16"/>
      <c r="H26" s="16"/>
      <c r="I26" s="16" t="s">
        <v>136</v>
      </c>
      <c r="J26" s="16" t="s">
        <v>93</v>
      </c>
      <c r="K26" s="21" t="s">
        <v>158</v>
      </c>
      <c r="L26" s="21" t="s">
        <v>100</v>
      </c>
      <c r="M26" s="21" t="s">
        <v>95</v>
      </c>
      <c r="N26" s="21" t="s">
        <v>159</v>
      </c>
      <c r="O26" s="21" t="s">
        <v>160</v>
      </c>
      <c r="P26" s="16"/>
      <c r="Q26" s="21"/>
      <c r="R26" s="16"/>
      <c r="S26" s="16"/>
      <c r="T26" s="16"/>
      <c r="U26" s="22">
        <v>42523</v>
      </c>
      <c r="V26" s="22">
        <v>42523</v>
      </c>
    </row>
    <row r="27" spans="1:22" ht="27" x14ac:dyDescent="0.3">
      <c r="A27" s="16" t="s">
        <v>105</v>
      </c>
      <c r="B27" s="16" t="s">
        <v>124</v>
      </c>
      <c r="C27" s="16" t="s">
        <v>7</v>
      </c>
      <c r="D27" s="16" t="s">
        <v>7</v>
      </c>
      <c r="E27" s="16" t="s">
        <v>90</v>
      </c>
      <c r="F27" s="16" t="s">
        <v>29</v>
      </c>
      <c r="G27" s="16"/>
      <c r="H27" s="16"/>
      <c r="I27" s="16" t="s">
        <v>136</v>
      </c>
      <c r="J27" s="16" t="s">
        <v>93</v>
      </c>
      <c r="K27" s="21" t="s">
        <v>158</v>
      </c>
      <c r="L27" s="21" t="s">
        <v>100</v>
      </c>
      <c r="M27" s="21" t="s">
        <v>95</v>
      </c>
      <c r="N27" s="21" t="s">
        <v>159</v>
      </c>
      <c r="O27" s="21" t="s">
        <v>160</v>
      </c>
      <c r="P27" s="16"/>
      <c r="Q27" s="21"/>
      <c r="R27" s="16"/>
      <c r="S27" s="16"/>
      <c r="T27" s="16"/>
      <c r="U27" s="22">
        <v>42523</v>
      </c>
      <c r="V27" s="22">
        <v>42523</v>
      </c>
    </row>
    <row r="28" spans="1:22" ht="27" x14ac:dyDescent="0.3">
      <c r="A28" s="16" t="s">
        <v>105</v>
      </c>
      <c r="B28" s="16" t="s">
        <v>124</v>
      </c>
      <c r="C28" s="16" t="s">
        <v>7</v>
      </c>
      <c r="D28" s="16" t="s">
        <v>7</v>
      </c>
      <c r="E28" s="16" t="s">
        <v>88</v>
      </c>
      <c r="F28" s="16" t="s">
        <v>31</v>
      </c>
      <c r="G28" s="16"/>
      <c r="H28" s="16"/>
      <c r="I28" s="16" t="s">
        <v>136</v>
      </c>
      <c r="J28" s="16" t="s">
        <v>93</v>
      </c>
      <c r="K28" s="21" t="s">
        <v>158</v>
      </c>
      <c r="L28" s="21" t="s">
        <v>104</v>
      </c>
      <c r="M28" s="21" t="s">
        <v>95</v>
      </c>
      <c r="N28" s="21" t="s">
        <v>159</v>
      </c>
      <c r="O28" s="21" t="s">
        <v>160</v>
      </c>
      <c r="P28" s="16"/>
      <c r="Q28" s="21" t="s">
        <v>109</v>
      </c>
      <c r="R28" s="16" t="s">
        <v>143</v>
      </c>
      <c r="S28" s="16" t="s">
        <v>131</v>
      </c>
      <c r="T28" s="21" t="s">
        <v>83</v>
      </c>
      <c r="U28" s="22">
        <v>42523</v>
      </c>
      <c r="V28" s="22" t="s">
        <v>84</v>
      </c>
    </row>
  </sheetData>
  <mergeCells count="19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V1:V2"/>
    <mergeCell ref="N1:N2"/>
    <mergeCell ref="O1:O2"/>
    <mergeCell ref="P1:P2"/>
    <mergeCell ref="Q1:R1"/>
    <mergeCell ref="S1:T1"/>
    <mergeCell ref="U1:U2"/>
  </mergeCells>
  <phoneticPr fontId="60" type="noConversion"/>
  <dataValidations disablePrompts="1" count="5">
    <dataValidation type="list" allowBlank="1" showInputMessage="1" showErrorMessage="1" sqref="Q3:Q28">
      <formula1>"추가,수정,삭제,이관삭제"</formula1>
    </dataValidation>
    <dataValidation type="list" allowBlank="1" showInputMessage="1" showErrorMessage="1" sqref="O3:O28">
      <formula1>"진행,수용,기각,이관"</formula1>
    </dataValidation>
    <dataValidation type="list" allowBlank="1" showInputMessage="1" showErrorMessage="1" sqref="N3:N28">
      <formula1>"개선,신규"</formula1>
    </dataValidation>
    <dataValidation type="list" allowBlank="1" showInputMessage="1" showErrorMessage="1" sqref="M3:M28">
      <formula1>"기능,비기능"</formula1>
    </dataValidation>
    <dataValidation type="list" allowBlank="1" showInputMessage="1" showErrorMessage="1" sqref="L3:L28">
      <formula1>"상,중,하"</formula1>
    </dataValidation>
  </dataValidations>
  <pageMargins left="0.7086111307144165" right="0.7086111307144165" top="0.74777776002883911" bottom="0.74777776002883911" header="0.31486111879348755" footer="0.31486111879348755"/>
  <pageSetup paperSize="9" scale="36" fitToHeight="0" orientation="landscape" horizontalDpi="4294967295" verticalDpi="4294967295" r:id="rId1"/>
  <headerFooter>
    <oddHeader>&amp;L&amp;"한컴바탕,Bold"&amp;10프로젝트명&amp;R&amp;"돋움,Bold"&amp;10요구사항정의서</oddHeader>
    <oddFooter>&amp;C&amp;"돋움,Regular"&amp;10-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요구사항정의서(당사 요구사항)</vt:lpstr>
      <vt:lpstr>전자구매 계약서화면 </vt:lpstr>
      <vt:lpstr>작성가이드</vt:lpstr>
      <vt:lpstr>작성예시</vt:lpstr>
      <vt:lpstr>'요구사항정의서(당사 요구사항)'!Print_Area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김창기</dc:creator>
  <cp:lastModifiedBy>vcircle</cp:lastModifiedBy>
  <cp:revision>7</cp:revision>
  <cp:lastPrinted>2026-04-22T05:05:24Z</cp:lastPrinted>
  <dcterms:created xsi:type="dcterms:W3CDTF">2010-05-13T02:39:30Z</dcterms:created>
  <dcterms:modified xsi:type="dcterms:W3CDTF">2026-06-18T06:08:14Z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pid="4" name="Fasoo_Trace_ID">
    <vt:lpwstr>eyJub2RlMSI6eyJkc2QiOiIwMTAwMDAwMDAwMDAzMjk4IiwibG9nVGltZSI6IjIwMjYtMDYtMDhUMDI6MjU6NTJaIiwicElEIjoxLCJwcm9jZXNzSWQiOjc5MjAsInByb2Nlc3NOYW1lIjoiRVhDRUwuRVhFIiwidHJhY2VJZCI6IjVERTE1RUIwNjFDQzQ5MTE4MEE5QUNCNTFCNDNDNEE1IiwidXNlckNvZGUiOiJQMDYxMDAyMyJ9LCJub2R</vt:lpwstr>
  </property>
</Properties>
</file>